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98600c526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6d8eca49754ab2"/>
    <x:sheet xmlns:r="http://schemas.openxmlformats.org/officeDocument/2006/relationships" name="Drivers" sheetId="2" r:id="Rba3ca4146c914311"/>
    <x:sheet xmlns:r="http://schemas.openxmlformats.org/officeDocument/2006/relationships" name="DCF" sheetId="3" r:id="Rd56ec496023245ef"/>
    <x:sheet xmlns:r="http://schemas.openxmlformats.org/officeDocument/2006/relationships" name="History" sheetId="4" r:id="R55b0331a1ede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;(#,##0.0);&quot;-&quot;"/>
    <x:numFmt numFmtId="201" formatCode="0"/>
    <x:numFmt numFmtId="202" formatCode="0.0%;(0.0%);&quot;-&quot;"/>
    <x:numFmt numFmtId="203" formatCode="0.00%;(0.00%);&quot;-&quot;"/>
    <x:numFmt numFmtId="204" formatCode="0.000"/>
    <x:numFmt numFmtId="205" formatCode="0.000x"/>
    <x:numFmt numFmtId="206" formatCode="0.00x"/>
    <x:numFmt numFmtId="207" formatCode="$0.00"/>
    <x:numFmt numFmtId="208" formatCode="0.00;(0.00);0.00"/>
    <x:numFmt numFmtId="209" formatCode="0.00%"/>
  </x:numFmts>
  <x:fonts count="9">
    <x:font>
      <x:sz val="11"/>
      <x:name val="Carlito"/>
    </x:font>
    <x:font>
      <x:sz val="11"/>
      <x:color rgb="FF172B4D"/>
      <x:name val="Arial"/>
    </x:font>
    <x:font>
      <x:b/>
      <x:sz val="16"/>
      <x:color rgb="FF172B4D"/>
      <x:name val="Arial"/>
    </x:font>
    <x:font>
      <x:sz val="11"/>
      <x:color rgb="FF008040"/>
      <x:name val="Arial"/>
    </x:font>
    <x:font>
      <x:sz val="11"/>
      <x:color rgb="FF111111"/>
      <x:name val="Arial"/>
    </x:font>
    <x:font>
      <x:b/>
      <x:sz val="11"/>
      <x:color rgb="FF172B4D"/>
      <x:name val="Arial"/>
    </x:font>
    <x:font>
      <x:b/>
      <x:sz val="11"/>
      <x:color rgb="FF111111"/>
      <x:name val="Arial"/>
    </x:font>
    <x:font>
      <x:sz val="11"/>
      <x:color rgb="FF0000FF"/>
      <x:name val="Arial"/>
    </x:font>
    <x:font>
      <x:sz val="9"/>
      <x:color rgb="FF172B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6EB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3" fillId="0" borderId="0" xfId="0" applyNumberFormat="1" applyFont="1" applyFill="1" applyBorder="1"/>
    <x:xf numFmtId="200" fontId="4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4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200" fontId="6" fillId="2" borderId="0" xfId="0" applyNumberFormat="1" applyFont="1" applyFill="1" applyBorder="1"/>
    <x:xf numFmtId="203" fontId="6" fillId="2" borderId="0" xfId="0" applyNumberFormat="1" applyFont="1" applyFill="1" applyBorder="1"/>
    <x:xf numFmtId="203" fontId="1" fillId="0" borderId="0" xfId="0" applyNumberFormat="1" applyFont="1" applyFill="1" applyBorder="1"/>
    <x:xf numFmtId="203" fontId="7" fillId="0" borderId="0" xfId="0" applyNumberFormat="1" applyFont="1" applyFill="1" applyBorder="1"/>
    <x:xf numFmtId="202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8" fillId="0" borderId="0" xfId="0" applyNumberFormat="1" applyFont="1" applyFill="1" applyBorder="1"/>
    <x:xf numFmtId="204" fontId="7" fillId="0" borderId="0" xfId="0" applyNumberFormat="1" applyFont="1" applyFill="1" applyBorder="1"/>
    <x:xf numFmtId="202" fontId="3" fillId="0" borderId="0" xfId="0" applyNumberFormat="1" applyFont="1" applyFill="1" applyBorder="1"/>
    <x:xf numFmtId="201" fontId="4" fillId="0" borderId="0" xfId="0" applyNumberFormat="1" applyFont="1" applyFill="1" applyBorder="1"/>
    <x:xf numFmtId="205" fontId="3" fillId="0" borderId="0" xfId="0" applyNumberFormat="1" applyFont="1" applyFill="1" applyBorder="1"/>
    <x:xf numFmtId="206" fontId="4" fillId="0" borderId="0" xfId="0" applyNumberFormat="1" applyFont="1" applyFill="1" applyBorder="1"/>
    <x:xf numFmtId="207" fontId="4" fillId="0" borderId="0" xfId="0" applyNumberFormat="1" applyFont="1" applyFill="1" applyBorder="1"/>
    <x:xf numFmtId="208" fontId="3" fillId="0" borderId="0" xfId="0" applyNumberFormat="1" applyFont="1" applyFill="1" applyBorder="1"/>
    <x:xf numFmtId="208" fontId="4" fillId="0" borderId="0" xfId="0" applyNumberFormat="1" applyFont="1" applyFill="1" applyBorder="1"/>
    <x:xf numFmtId="207" fontId="1" fillId="0" borderId="0" xfId="0" applyNumberFormat="1" applyFont="1" applyFill="1" applyBorder="1"/>
    <x:xf numFmtId="209" fontId="1" fillId="0" borderId="0" xfId="0" applyNumberFormat="1" applyFont="1" applyFill="1" applyBorder="1"/>
    <x:xf numFmtId="206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765990a144c45" /><Relationship Type="http://schemas.openxmlformats.org/officeDocument/2006/relationships/theme" Target="/xl/theme/theme1.xml" Id="R6aa23968bc79466d" /><Relationship Type="http://schemas.openxmlformats.org/officeDocument/2006/relationships/sharedStrings" Target="/xl/sharedStrings.xml" Id="R1edd339419744787" /><Relationship Type="http://schemas.openxmlformats.org/officeDocument/2006/relationships/worksheet" Target="/xl/worksheets/sheet1.xml" Id="R586d8eca49754ab2" /><Relationship Type="http://schemas.openxmlformats.org/officeDocument/2006/relationships/worksheet" Target="/xl/worksheets/sheet2.xml" Id="Rba3ca4146c914311" /><Relationship Type="http://schemas.openxmlformats.org/officeDocument/2006/relationships/worksheet" Target="/xl/worksheets/sheet3.xml" Id="Rd56ec496023245ef" /><Relationship Type="http://schemas.openxmlformats.org/officeDocument/2006/relationships/worksheet" Target="/xl/worksheets/sheet4.xml" Id="R55b0331a1ede47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2B4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</x:row>
    <x:row r="2" ht="24" customHeight="1">
      <x:c r="A2" s="1"/>
      <x:c r="B2" s="1"/>
      <x:c r="C2" s="3" t="str">
        <x:v>GXO financial valuation: Summary</x:v>
      </x:c>
      <x:c r="D2" s="2"/>
      <x:c r="E2" s="2"/>
      <x:c r="F2" s="2"/>
      <x:c r="G2" s="2"/>
      <x:c r="H2" s="2"/>
      <x:c r="I2" s="2"/>
      <x:c r="J2" s="1"/>
    </x:row>
    <x:row r="3" ht="24" customHeight="1">
      <x:c r="A3" s="1"/>
      <x:c r="B3" s="1"/>
      <x:c r="C3" s="1" t="str">
        <x:v>USD millions, except per-share values. Retrospective FY2025-based case study.</x:v>
      </x:c>
      <x:c r="D3" s="2"/>
      <x:c r="E3" s="2"/>
      <x:c r="F3" s="2"/>
      <x:c r="G3" s="2"/>
      <x:c r="H3" s="2"/>
      <x:c r="I3" s="2"/>
      <x:c r="J3" s="1"/>
    </x:row>
    <x:row r="4" ht="24" customHeight="1">
      <x:c r="A4" s="1"/>
      <x:c r="B4" s="1"/>
      <x:c r="C4" s="1" t="str">
        <x:v>Active case</x:v>
      </x:c>
      <x:c r="D4" s="4" t="str">
        <x:f>'Drivers'!D6</x:f>
        <x:v>Base</x:v>
      </x:c>
      <x:c r="E4" s="2"/>
      <x:c r="F4" s="2"/>
      <x:c r="G4" s="2"/>
      <x:c r="H4" s="2"/>
      <x:c r="I4" s="2"/>
      <x:c r="J4" s="1"/>
    </x:row>
    <x:row r="5" ht="24" customHeight="1">
      <x:c r="A5" s="1"/>
      <x:c r="B5" s="1"/>
      <x:c r="C5" s="1"/>
      <x:c r="D5" s="2"/>
      <x:c r="E5" s="2"/>
      <x:c r="F5" s="2"/>
      <x:c r="G5" s="2"/>
      <x:c r="H5" s="2"/>
      <x:c r="I5" s="2"/>
      <x:c r="J5" s="1"/>
    </x:row>
    <x:row r="6" ht="24" customHeight="1">
      <x:c r="A6" s="1"/>
      <x:c r="B6" s="1"/>
      <x:c r="C6" s="11" t="str">
        <x:v>Discounted cash flow valuation</x:v>
      </x:c>
      <x:c r="D6" s="12"/>
      <x:c r="E6" s="12"/>
      <x:c r="F6" s="12"/>
      <x:c r="G6" s="12"/>
      <x:c r="H6" s="12"/>
      <x:c r="I6" s="12"/>
      <x:c r="J6" s="1"/>
    </x:row>
    <x:row r="7" ht="24" customHeight="1">
      <x:c r="A7" s="1"/>
      <x:c r="B7" s="1"/>
      <x:c r="C7" s="1"/>
      <x:c r="D7" s="2"/>
      <x:c r="E7" s="2"/>
      <x:c r="F7" s="2"/>
      <x:c r="G7" s="2"/>
      <x:c r="H7" s="2"/>
      <x:c r="I7" s="2"/>
      <x:c r="J7" s="1"/>
    </x:row>
    <x:row r="8" ht="24" customHeight="1">
      <x:c r="A8" s="1"/>
      <x:c r="B8" s="1"/>
      <x:c r="C8" s="1" t="str">
        <x:v>Enterprise value</x:v>
      </x:c>
      <x:c r="D8" s="2" t="n">
        <x:f>'DCF'!D35</x:f>
        <x:v>5413.00319579454</x:v>
      </x:c>
      <x:c r="E8" s="2"/>
      <x:c r="F8" s="2"/>
      <x:c r="G8" s="2"/>
      <x:c r="H8" s="2"/>
      <x:c r="I8" s="2"/>
      <x:c r="J8" s="1"/>
    </x:row>
    <x:row r="9" ht="24" customHeight="1">
      <x:c r="A9" s="1"/>
      <x:c r="B9" s="1"/>
      <x:c r="C9" s="1" t="str">
        <x:v>Equity value</x:v>
      </x:c>
      <x:c r="D9" s="2" t="n">
        <x:f>'DCF'!D39</x:f>
        <x:v>2970.0031957945403</x:v>
      </x:c>
      <x:c r="E9" s="2"/>
      <x:c r="F9" s="2"/>
      <x:c r="G9" s="2"/>
      <x:c r="H9" s="2"/>
      <x:c r="I9" s="2"/>
      <x:c r="J9" s="1"/>
    </x:row>
    <x:row r="10" ht="24" customHeight="1">
      <x:c r="A10" s="1"/>
      <x:c r="B10" s="1"/>
      <x:c r="C10" s="1" t="str">
        <x:v>Illustrative value per basic share</x:v>
      </x:c>
      <x:c r="D10" s="29" t="n">
        <x:f>'DCF'!D41</x:f>
        <x:v>25.93617433801296</x:v>
      </x:c>
      <x:c r="E10" s="2"/>
      <x:c r="F10" s="2"/>
      <x:c r="G10" s="2"/>
      <x:c r="H10" s="2"/>
      <x:c r="I10" s="2"/>
      <x:c r="J10" s="1"/>
    </x:row>
    <x:row r="11" ht="24" customHeight="1">
      <x:c r="A11" s="1"/>
      <x:c r="B11" s="1"/>
      <x:c r="C11" s="1" t="str">
        <x:v>Weighted average cost of capital</x:v>
      </x:c>
      <x:c r="D11" s="30" t="n">
        <x:f>'Drivers'!D23</x:f>
        <x:v>0.088125</x:v>
      </x:c>
      <x:c r="E11" s="2"/>
      <x:c r="F11" s="2"/>
      <x:c r="G11" s="2"/>
      <x:c r="H11" s="2"/>
      <x:c r="I11" s="2"/>
      <x:c r="J11" s="1"/>
    </x:row>
    <x:row r="12" ht="24" customHeight="1">
      <x:c r="A12" s="1"/>
      <x:c r="B12" s="1"/>
      <x:c r="C12" s="1" t="str">
        <x:v>Terminal growth</x:v>
      </x:c>
      <x:c r="D12" s="7" t="n">
        <x:f>'Drivers'!D14</x:f>
        <x:v>0.025</x:v>
      </x:c>
      <x:c r="E12" s="2"/>
      <x:c r="F12" s="2"/>
      <x:c r="G12" s="2"/>
      <x:c r="H12" s="2"/>
      <x:c r="I12" s="2"/>
      <x:c r="J12" s="1"/>
    </x:row>
    <x:row r="13" ht="24" customHeight="1">
      <x:c r="A13" s="1"/>
      <x:c r="B13" s="1"/>
      <x:c r="C13" s="1" t="str">
        <x:v>PV terminal value / enterprise value</x:v>
      </x:c>
      <x:c r="D13" s="7" t="n">
        <x:f>'DCF'!D42</x:f>
        <x:v>0.6856328323362726</x:v>
      </x:c>
      <x:c r="E13" s="2"/>
      <x:c r="F13" s="2"/>
      <x:c r="G13" s="2"/>
      <x:c r="H13" s="2"/>
      <x:c r="I13" s="2"/>
      <x:c r="J13" s="1"/>
    </x:row>
    <x:row r="14" ht="24" customHeight="1">
      <x:c r="A14" s="1"/>
      <x:c r="B14" s="1"/>
      <x:c r="C14" s="1" t="str">
        <x:v>Implied terminal EBITDA multiple</x:v>
      </x:c>
      <x:c r="D14" s="31" t="n">
        <x:f>'DCF'!D43</x:f>
        <x:v>4.684657088463339</x:v>
      </x:c>
      <x:c r="E14" s="2"/>
      <x:c r="F14" s="2"/>
      <x:c r="G14" s="2"/>
      <x:c r="H14" s="2"/>
      <x:c r="I14" s="2"/>
      <x:c r="J14" s="1"/>
    </x:row>
    <x:row r="15" ht="24" customHeight="1">
      <x:c r="A15" s="1"/>
      <x:c r="B15" s="1"/>
      <x:c r="C15" s="1" t="str">
        <x:v>Exit-multiple value per basic share</x:v>
      </x:c>
      <x:c r="D15" s="29" t="n">
        <x:f>'DCF'!D46</x:f>
        <x:v>52.331964082836485</x:v>
      </x:c>
      <x:c r="E15" s="2"/>
      <x:c r="F15" s="2"/>
      <x:c r="G15" s="2"/>
      <x:c r="H15" s="2"/>
      <x:c r="I15" s="2"/>
      <x:c r="J15" s="1"/>
    </x:row>
    <x:row r="16" ht="24" customHeight="1">
      <x:c r="A16" s="1"/>
      <x:c r="B16" s="1"/>
      <x:c r="C16" s="1"/>
      <x:c r="D16" s="2"/>
      <x:c r="E16" s="2"/>
      <x:c r="F16" s="2"/>
      <x:c r="G16" s="2"/>
      <x:c r="H16" s="2"/>
      <x:c r="I16" s="2"/>
      <x:c r="J16" s="1"/>
    </x:row>
    <x:row r="17" ht="24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1"/>
    </x:row>
    <x:row r="18" ht="24" customHeight="1">
      <x:c r="A18" s="1"/>
      <x:c r="B18" s="1"/>
      <x:c r="C18" s="11" t="str">
        <x:v>Value per share: WACC across, terminal growth down</x:v>
      </x:c>
      <x:c r="D18" s="12"/>
      <x:c r="E18" s="12"/>
      <x:c r="F18" s="12"/>
      <x:c r="G18" s="12"/>
      <x:c r="H18" s="12"/>
      <x:c r="I18" s="12"/>
      <x:c r="J18" s="1"/>
    </x:row>
    <x:row r="19" ht="24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1"/>
    </x:row>
    <x:row r="20" ht="24" customHeight="1">
      <x:c r="A20" s="1"/>
      <x:c r="B20" s="1"/>
      <x:c r="C20" s="1"/>
      <x:c r="D20" s="2"/>
      <x:c r="E20" s="30" t="n">
        <x:v>0.075</x:v>
      </x:c>
      <x:c r="F20" s="30" t="n">
        <x:v>0.08</x:v>
      </x:c>
      <x:c r="G20" s="30" t="n">
        <x:v>0.088125</x:v>
      </x:c>
      <x:c r="H20" s="30" t="n">
        <x:v>0.095</x:v>
      </x:c>
      <x:c r="I20" s="30" t="n">
        <x:v>0.105</x:v>
      </x:c>
      <x:c r="J20" s="1"/>
    </x:row>
    <x:row r="21" ht="24" customHeight="1">
      <x:c r="A21" s="1"/>
      <x:c r="B21" s="1"/>
      <x:c r="C21" s="1"/>
      <x:c r="D21" s="7" t="n">
        <x:v>0.015</x:v>
      </x:c>
      <x:c r="E21" s="29" t="n">
        <x:f>IF(OR(E$20&lt;=$D21,$D21&gt;='Drivers'!$D$15),NA(),(('DCF'!E21/(1+E$20)^1+'DCF'!F21/(1+E$20)^2+'DCF'!G21/(1+E$20)^3+'DCF'!H21/(1+E$20)^4+'DCF'!I21/(1+E$20)^5)+'DCF'!$I$17*(1+$D21)*(1-$D21/'Drivers'!$D$15)/(E$20-$D21)/(1+E$20)^5+'DCF'!$D$36-'DCF'!$D$37-'DCF'!$D$38)/'DCF'!$D$40)</x:f>
        <x:v>34.737074924279135</x:v>
      </x:c>
      <x:c r="F21" s="29" t="n">
        <x:f>IF(OR(F$20&lt;=$D21,$D21&gt;='Drivers'!$D$15),NA(),(('DCF'!E21/(1+F$20)^1+'DCF'!F21/(1+F$20)^2+'DCF'!G21/(1+F$20)^3+'DCF'!H21/(1+F$20)^4+'DCF'!I21/(1+F$20)^5)+'DCF'!$I$17*(1+$D21)*(1-$D21/'Drivers'!$D$15)/(F$20-$D21)/(1+F$20)^5+'DCF'!$D$36-'DCF'!$D$37-'DCF'!$D$38)/'DCF'!$D$40)</x:f>
        <x:v>30.535394677167325</x:v>
      </x:c>
      <x:c r="G21" s="29" t="n">
        <x:f>IF(OR(G$20&lt;=$D21,$D21&gt;='Drivers'!$D$15),NA(),(('DCF'!E21/(1+G$20)^1+'DCF'!F21/(1+G$20)^2+'DCF'!G21/(1+G$20)^3+'DCF'!H21/(1+G$20)^4+'DCF'!I21/(1+G$20)^5)+'DCF'!$I$17*(1+$D21)*(1-$D21/'Drivers'!$D$15)/(G$20-$D21)/(1+G$20)^5+'DCF'!$D$36-'DCF'!$D$37-'DCF'!$D$38)/'DCF'!$D$40)</x:f>
        <x:v>24.925070949357817</x:v>
      </x:c>
      <x:c r="H21" s="29" t="n">
        <x:f>IF(OR(H$20&lt;=$D21,$D21&gt;='Drivers'!$D$15),NA(),(('DCF'!E21/(1+H$20)^1+'DCF'!F21/(1+H$20)^2+'DCF'!G21/(1+H$20)^3+'DCF'!H21/(1+H$20)^4+'DCF'!I21/(1+H$20)^5)+'DCF'!$I$17*(1+$D21)*(1-$D21/'Drivers'!$D$15)/(H$20-$D21)/(1+H$20)^5+'DCF'!$D$36-'DCF'!$D$37-'DCF'!$D$38)/'DCF'!$D$40)</x:f>
        <x:v>21.061172246470203</x:v>
      </x:c>
      <x:c r="I21" s="29" t="n">
        <x:f>IF(OR(I$20&lt;=$D21,$D21&gt;='Drivers'!$D$15),NA(),(('DCF'!E21/(1+I$20)^1+'DCF'!F21/(1+I$20)^2+'DCF'!G21/(1+I$20)^3+'DCF'!H21/(1+I$20)^4+'DCF'!I21/(1+I$20)^5)+'DCF'!$I$17*(1+$D21)*(1-$D21/'Drivers'!$D$15)/(I$20-$D21)/(1+I$20)^5+'DCF'!$D$36-'DCF'!$D$37-'DCF'!$D$38)/'DCF'!$D$40)</x:f>
        <x:v>16.48544342319052</x:v>
      </x:c>
      <x:c r="J21" s="1"/>
    </x:row>
    <x:row r="22" ht="24" customHeight="1">
      <x:c r="A22" s="1"/>
      <x:c r="B22" s="1"/>
      <x:c r="C22" s="1"/>
      <x:c r="D22" s="7" t="n">
        <x:v>0.02</x:v>
      </x:c>
      <x:c r="E22" s="29" t="n">
        <x:f>IF(OR(E$20&lt;=$D22,$D22&gt;='Drivers'!$D$15),NA(),(('DCF'!E21/(1+E$20)^1+'DCF'!F21/(1+E$20)^2+'DCF'!G21/(1+E$20)^3+'DCF'!H21/(1+E$20)^4+'DCF'!I21/(1+E$20)^5)+'DCF'!$I$17*(1+$D22)*(1-$D22/'Drivers'!$D$15)/(E$20-$D22)/(1+E$20)^5+'DCF'!$D$36-'DCF'!$D$37-'DCF'!$D$38)/'DCF'!$D$40)</x:f>
        <x:v>36.02993080840934</x:v>
      </x:c>
      <x:c r="F22" s="29" t="n">
        <x:f>IF(OR(F$20&lt;=$D22,$D22&gt;='Drivers'!$D$15),NA(),(('DCF'!E21/(1+F$20)^1+'DCF'!F21/(1+F$20)^2+'DCF'!G21/(1+F$20)^3+'DCF'!H21/(1+F$20)^4+'DCF'!I21/(1+F$20)^5)+'DCF'!$I$17*(1+$D22)*(1-$D22/'Drivers'!$D$15)/(F$20-$D22)/(1+F$20)^5+'DCF'!$D$36-'DCF'!$D$37-'DCF'!$D$38)/'DCF'!$D$40)</x:f>
        <x:v>31.438661158689765</x:v>
      </x:c>
      <x:c r="G22" s="29" t="n">
        <x:f>IF(OR(G$20&lt;=$D22,$D22&gt;='Drivers'!$D$15),NA(),(('DCF'!E21/(1+G$20)^1+'DCF'!F21/(1+G$20)^2+'DCF'!G21/(1+G$20)^3+'DCF'!H21/(1+G$20)^4+'DCF'!I21/(1+G$20)^5)+'DCF'!$I$17*(1+$D22)*(1-$D22/'Drivers'!$D$15)/(G$20-$D22)/(1+G$20)^5+'DCF'!$D$36-'DCF'!$D$37-'DCF'!$D$38)/'DCF'!$D$40)</x:f>
        <x:v>25.403284200348605</x:v>
      </x:c>
      <x:c r="H22" s="29" t="n">
        <x:f>IF(OR(H$20&lt;=$D22,$D22&gt;='Drivers'!$D$15),NA(),(('DCF'!E21/(1+H$20)^1+'DCF'!F21/(1+H$20)^2+'DCF'!G21/(1+H$20)^3+'DCF'!H21/(1+H$20)^4+'DCF'!I21/(1+H$20)^5)+'DCF'!$I$17*(1+$D22)*(1-$D22/'Drivers'!$D$15)/(H$20-$D22)/(1+H$20)^5+'DCF'!$D$36-'DCF'!$D$37-'DCF'!$D$38)/'DCF'!$D$40)</x:f>
        <x:v>21.307770471713706</x:v>
      </x:c>
      <x:c r="I22" s="29" t="n">
        <x:f>IF(OR(I$20&lt;=$D22,$D22&gt;='Drivers'!$D$15),NA(),(('DCF'!E21/(1+I$20)^1+'DCF'!F21/(1+I$20)^2+'DCF'!G21/(1+I$20)^3+'DCF'!H21/(1+I$20)^4+'DCF'!I21/(1+I$20)^5)+'DCF'!$I$17*(1+$D22)*(1-$D22/'Drivers'!$D$15)/(I$20-$D22)/(1+I$20)^5+'DCF'!$D$36-'DCF'!$D$37-'DCF'!$D$38)/'DCF'!$D$40)</x:f>
        <x:v>16.519668561183927</x:v>
      </x:c>
      <x:c r="J22" s="1"/>
    </x:row>
    <x:row r="23" ht="24" customHeight="1">
      <x:c r="A23" s="1"/>
      <x:c r="B23" s="1"/>
      <x:c r="C23" s="1"/>
      <x:c r="D23" s="7" t="n">
        <x:v>0.025</x:v>
      </x:c>
      <x:c r="E23" s="29" t="n">
        <x:f>IF(OR(E$20&lt;=$D23,$D23&gt;='Drivers'!$D$15),NA(),(('DCF'!E21/(1+E$20)^1+'DCF'!F21/(1+E$20)^2+'DCF'!G21/(1+E$20)^3+'DCF'!H21/(1+E$20)^4+'DCF'!I21/(1+E$20)^5)+'DCF'!$I$17*(1+$D23)*(1-$D23/'Drivers'!$D$15)/(E$20-$D23)/(1+E$20)^5+'DCF'!$D$36-'DCF'!$D$37-'DCF'!$D$38)/'DCF'!$D$40)</x:f>
        <x:v>37.55307999418658</x:v>
      </x:c>
      <x:c r="F23" s="29" t="n">
        <x:f>IF(OR(F$20&lt;=$D23,$D23&gt;='Drivers'!$D$15),NA(),(('DCF'!E21/(1+F$20)^1+'DCF'!F21/(1+F$20)^2+'DCF'!G21/(1+F$20)^3+'DCF'!H21/(1+F$20)^4+'DCF'!I21/(1+F$20)^5)+'DCF'!$I$17*(1+$D23)*(1-$D23/'Drivers'!$D$15)/(F$20-$D23)/(1+F$20)^5+'DCF'!$D$36-'DCF'!$D$37-'DCF'!$D$38)/'DCF'!$D$40)</x:f>
        <x:v>32.4810403389707</x:v>
      </x:c>
      <x:c r="G23" s="29" t="n">
        <x:f>IF(OR(G$20&lt;=$D23,$D23&gt;='Drivers'!$D$15),NA(),(('DCF'!E21/(1+G$20)^1+'DCF'!F21/(1+G$20)^2+'DCF'!G21/(1+G$20)^3+'DCF'!H21/(1+G$20)^4+'DCF'!I21/(1+G$20)^5)+'DCF'!$I$17*(1+$D23)*(1-$D23/'Drivers'!$D$15)/(G$20-$D23)/(1+G$20)^5+'DCF'!$D$36-'DCF'!$D$37-'DCF'!$D$38)/'DCF'!$D$40)</x:f>
        <x:v>25.93617433801296</x:v>
      </x:c>
      <x:c r="H23" s="29" t="n">
        <x:f>IF(OR(H$20&lt;=$D23,$D23&gt;='Drivers'!$D$15),NA(),(('DCF'!E21/(1+H$20)^1+'DCF'!F21/(1+H$20)^2+'DCF'!G21/(1+H$20)^3+'DCF'!H21/(1+H$20)^4+'DCF'!I21/(1+H$20)^5)+'DCF'!$I$17*(1+$D23)*(1-$D23/'Drivers'!$D$15)/(H$20-$D23)/(1+H$20)^5+'DCF'!$D$36-'DCF'!$D$37-'DCF'!$D$38)/'DCF'!$D$40)</x:f>
        <x:v>21.571176979350074</x:v>
      </x:c>
      <x:c r="I23" s="29" t="n">
        <x:f>IF(OR(I$20&lt;=$D23,$D23&gt;='Drivers'!$D$15),NA(),(('DCF'!E21/(1+I$20)^1+'DCF'!F21/(1+I$20)^2+'DCF'!G21/(1+I$20)^3+'DCF'!H21/(1+I$20)^4+'DCF'!I21/(1+I$20)^5)+'DCF'!$I$17*(1+$D23)*(1-$D23/'Drivers'!$D$15)/(I$20-$D23)/(1+I$20)^5+'DCF'!$D$36-'DCF'!$D$37-'DCF'!$D$38)/'DCF'!$D$40)</x:f>
        <x:v>16.542770529329466</x:v>
      </x:c>
      <x:c r="J23" s="1"/>
    </x:row>
    <x:row r="24" ht="24" customHeight="1">
      <x:c r="A24" s="1"/>
      <x:c r="B24" s="1"/>
      <x:c r="C24" s="1"/>
      <x:c r="D24" s="7" t="n">
        <x:v>0.03</x:v>
      </x:c>
      <x:c r="E24" s="29" t="n">
        <x:f>IF(OR(E$20&lt;=$D24,$D24&gt;='Drivers'!$D$15),NA(),(('DCF'!E21/(1+E$20)^1+'DCF'!F21/(1+E$20)^2+'DCF'!G21/(1+E$20)^3+'DCF'!H21/(1+E$20)^4+'DCF'!I21/(1+E$20)^5)+'DCF'!$I$17*(1+$D24)*(1-$D24/'Drivers'!$D$15)/(E$20-$D24)/(1+E$20)^5+'DCF'!$D$36-'DCF'!$D$37-'DCF'!$D$38)/'DCF'!$D$40)</x:f>
        <x:v>39.38328691549323</x:v>
      </x:c>
      <x:c r="F24" s="29" t="n">
        <x:f>IF(OR(F$20&lt;=$D24,$D24&gt;='Drivers'!$D$15),NA(),(('DCF'!E21/(1+F$20)^1+'DCF'!F21/(1+F$20)^2+'DCF'!G21/(1+F$20)^3+'DCF'!H21/(1+F$20)^4+'DCF'!I21/(1+F$20)^5)+'DCF'!$I$17*(1+$D24)*(1-$D24/'Drivers'!$D$15)/(F$20-$D24)/(1+F$20)^5+'DCF'!$D$36-'DCF'!$D$37-'DCF'!$D$38)/'DCF'!$D$40)</x:f>
        <x:v>33.704266027637736</x:v>
      </x:c>
      <x:c r="G24" s="29" t="n">
        <x:f>IF(OR(G$20&lt;=$D24,$D24&gt;='Drivers'!$D$15),NA(),(('DCF'!E21/(1+G$20)^1+'DCF'!F21/(1+G$20)^2+'DCF'!G21/(1+G$20)^3+'DCF'!H21/(1+G$20)^4+'DCF'!I21/(1+G$20)^5)+'DCF'!$I$17*(1+$D24)*(1-$D24/'Drivers'!$D$15)/(G$20-$D24)/(1+G$20)^5+'DCF'!$D$36-'DCF'!$D$37-'DCF'!$D$38)/'DCF'!$D$40)</x:f>
        <x:v>26.53785152665376</x:v>
      </x:c>
      <x:c r="H24" s="29" t="n">
        <x:f>IF(OR(H$20&lt;=$D24,$D24&gt;='Drivers'!$D$15),NA(),(('DCF'!E21/(1+H$20)^1+'DCF'!F21/(1+H$20)^2+'DCF'!G21/(1+H$20)^3+'DCF'!H21/(1+H$20)^4+'DCF'!I21/(1+H$20)^5)+'DCF'!$I$17*(1+$D24)*(1-$D24/'Drivers'!$D$15)/(H$20-$D24)/(1+H$20)^5+'DCF'!$D$36-'DCF'!$D$37-'DCF'!$D$38)/'DCF'!$D$40)</x:f>
        <x:v>21.85527060377769</x:v>
      </x:c>
      <x:c r="I24" s="29" t="n">
        <x:f>IF(OR(I$20&lt;=$D24,$D24&gt;='Drivers'!$D$15),NA(),(('DCF'!E21/(1+I$20)^1+'DCF'!F21/(1+I$20)^2+'DCF'!G21/(1+I$20)^3+'DCF'!H21/(1+I$20)^4+'DCF'!I21/(1+I$20)^5)+'DCF'!$I$17*(1+$D24)*(1-$D24/'Drivers'!$D$15)/(I$20-$D24)/(1+I$20)^5+'DCF'!$D$36-'DCF'!$D$37-'DCF'!$D$38)/'DCF'!$D$40)</x:f>
        <x:v>16.55252469365757</x:v>
      </x:c>
      <x:c r="J24" s="1"/>
    </x:row>
    <x:row r="25" ht="24" customHeight="1">
      <x:c r="A25" s="1"/>
      <x:c r="B25" s="1"/>
      <x:c r="C25" s="1"/>
      <x:c r="D25" s="7" t="n">
        <x:v>0.035</x:v>
      </x:c>
      <x:c r="E25" s="29" t="n">
        <x:f>IF(OR(E$20&lt;=$D25,$D25&gt;='Drivers'!$D$15),NA(),(('DCF'!E21/(1+E$20)^1+'DCF'!F21/(1+E$20)^2+'DCF'!G21/(1+E$20)^3+'DCF'!H21/(1+E$20)^4+'DCF'!I21/(1+E$20)^5)+'DCF'!$I$17*(1+$D25)*(1-$D25/'Drivers'!$D$15)/(E$20-$D25)/(1+E$20)^5+'DCF'!$D$36-'DCF'!$D$37-'DCF'!$D$38)/'DCF'!$D$40)</x:f>
        <x:v>41.6356982231528</x:v>
      </x:c>
      <x:c r="F25" s="29" t="n">
        <x:f>IF(OR(F$20&lt;=$D25,$D25&gt;='Drivers'!$D$15),NA(),(('DCF'!E21/(1+F$20)^1+'DCF'!F21/(1+F$20)^2+'DCF'!G21/(1+F$20)^3+'DCF'!H21/(1+F$20)^4+'DCF'!I21/(1+F$20)^5)+'DCF'!$I$17*(1+$D25)*(1-$D25/'Drivers'!$D$15)/(F$20-$D25)/(1+F$20)^5+'DCF'!$D$36-'DCF'!$D$37-'DCF'!$D$38)/'DCF'!$D$40)</x:f>
        <x:v>35.1686203941529</x:v>
      </x:c>
      <x:c r="G25" s="29" t="n">
        <x:f>IF(OR(G$20&lt;=$D25,$D25&gt;='Drivers'!$D$15),NA(),(('DCF'!E21/(1+G$20)^1+'DCF'!F21/(1+G$20)^2+'DCF'!G21/(1+G$20)^3+'DCF'!H21/(1+G$20)^4+'DCF'!I21/(1+G$20)^5)+'DCF'!$I$17*(1+$D25)*(1-$D25/'Drivers'!$D$15)/(G$20-$D25)/(1+G$20)^5+'DCF'!$D$36-'DCF'!$D$37-'DCF'!$D$38)/'DCF'!$D$40)</x:f>
        <x:v>27.227737992429056</x:v>
      </x:c>
      <x:c r="H25" s="29" t="n">
        <x:f>IF(OR(H$20&lt;=$D25,$D25&gt;='Drivers'!$D$15),NA(),(('DCF'!E21/(1+H$20)^1+'DCF'!F21/(1+H$20)^2+'DCF'!G21/(1+H$20)^3+'DCF'!H21/(1+H$20)^4+'DCF'!I21/(1+H$20)^5)+'DCF'!$I$17*(1+$D25)*(1-$D25/'Drivers'!$D$15)/(H$20-$D25)/(1+H$20)^5+'DCF'!$D$36-'DCF'!$D$37-'DCF'!$D$38)/'DCF'!$D$40)</x:f>
        <x:v>22.16522312419434</x:v>
      </x:c>
      <x:c r="I25" s="29" t="n">
        <x:f>IF(OR(I$20&lt;=$D25,$D25&gt;='Drivers'!$D$15),NA(),(('DCF'!E21/(1+I$20)^1+'DCF'!F21/(1+I$20)^2+'DCF'!G21/(1+I$20)^3+'DCF'!H21/(1+I$20)^4+'DCF'!I21/(1+I$20)^5)+'DCF'!$I$17*(1+$D25)*(1-$D25/'Drivers'!$D$15)/(I$20-$D25)/(1+I$20)^5+'DCF'!$D$36-'DCF'!$D$37-'DCF'!$D$38)/'DCF'!$D$40)</x:f>
        <x:v>16.546070810493102</x:v>
      </x:c>
      <x:c r="J25" s="1"/>
    </x:row>
    <x:row r="26" ht="24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1"/>
    </x:row>
    <x:row r="27" ht="24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1"/>
    </x:row>
    <x:row r="28" ht="24" customHeight="1">
      <x:c r="A28" s="1"/>
      <x:c r="B28" s="1"/>
      <x:c r="C28" s="1" t="str">
        <x:v>Study anchor: December 31, 2025, using the February 10, 2026 results release.</x:v>
      </x:c>
      <x:c r="D28" s="2"/>
      <x:c r="E28" s="2"/>
      <x:c r="F28" s="2"/>
      <x:c r="G28" s="2"/>
      <x:c r="H28" s="2"/>
      <x:c r="I28" s="2"/>
      <x:c r="J28" s="1"/>
    </x:row>
    <x:row r="29" ht="24" customHeight="1">
      <x:c r="A29" s="1"/>
      <x:c r="B29" s="1"/>
      <x:c r="C29" s="1" t="str">
        <x:v>Prepared September 28, 2026. No current market price or upside/downside claim.</x:v>
      </x:c>
      <x:c r="D29" s="2"/>
      <x:c r="E29" s="2"/>
      <x:c r="F29" s="2"/>
      <x:c r="G29" s="2"/>
      <x:c r="H29" s="2"/>
      <x:c r="I29" s="2"/>
      <x:c r="J29" s="1"/>
    </x:row>
    <x:row r="30" ht="24" customHeight="1">
      <x:c r="A30" s="1"/>
      <x:c r="B30" s="1"/>
      <x:c r="C30" s="1" t="str">
        <x:v>Operating and discount assumptions are illustrative; inspect Drivers before interpreting value.</x:v>
      </x:c>
      <x:c r="D30" s="2"/>
      <x:c r="E30" s="2"/>
      <x:c r="F30" s="2"/>
      <x:c r="G30" s="2"/>
      <x:c r="H30" s="2"/>
      <x:c r="I30" s="2"/>
      <x:c r="J30" s="1"/>
    </x:row>
    <x:row r="31" ht="24" customHeight="1">
      <x:c r="A31" s="1"/>
      <x:c r="B31" s="1"/>
      <x:c r="C31" s="1" t="str">
        <x:v>Per-share output excludes future dilution; NCI uses book value and debt uses carrying value.</x:v>
      </x:c>
      <x:c r="D31" s="2"/>
      <x:c r="E31" s="2"/>
      <x:c r="F31" s="2"/>
      <x:c r="G31" s="2"/>
      <x:c r="H31" s="2"/>
      <x:c r="I31" s="2"/>
      <x:c r="J31" s="1"/>
    </x:row>
    <x:row r="32" ht="24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1"/>
    </x:row>
    <x:row r="33" ht="24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1"/>
    </x:row>
    <x:row r="34" ht="24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1"/>
    </x:row>
    <x:row r="35" ht="24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1"/>
    </x:row>
    <x:row r="36" ht="24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1"/>
    </x:row>
    <x:row r="37" ht="24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1"/>
    </x:row>
    <x:row r="38" ht="24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1"/>
    </x:row>
    <x:row r="39" ht="24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1"/>
    </x:row>
    <x:row r="40" ht="24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1"/>
    </x:row>
    <x:row r="41" ht="24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1"/>
    </x:row>
    <x:row r="42" ht="24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1"/>
    </x:row>
    <x:row r="43" ht="24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1"/>
    </x:row>
    <x:row r="44" ht="24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1"/>
    </x:row>
    <x:row r="45" ht="24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1"/>
    </x:row>
    <x:row r="46" ht="24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1"/>
    </x:row>
    <x:row r="47" ht="24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1"/>
    </x:row>
    <x:row r="48" ht="24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1"/>
    </x:row>
    <x:row r="49" ht="24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1"/>
    </x:row>
    <x:row r="50" ht="24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1"/>
    </x:row>
    <x:row r="51" ht="24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1"/>
    </x:row>
    <x:row r="52" ht="24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1"/>
    </x:row>
    <x:row r="53" ht="24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1"/>
    </x:row>
    <x:row r="54" ht="24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1"/>
    </x:row>
    <x:row r="55" ht="24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</x:row>
    <x:row r="56" ht="24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4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4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4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4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4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4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4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4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4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4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  <x:row r="67" ht="24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1"/>
    </x:row>
    <x:row r="68" ht="24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1"/>
    </x:row>
    <x:row r="69" ht="24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1"/>
    </x:row>
    <x:row r="70" ht="24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1"/>
    </x:row>
  </x:sheetData>
  <x:conditionalFormatting sqref="E21:I25">
    <x:cfRule type="colorScale" priority="1">
      <x:colorScale>
        <x:cfvo type="min"/>
        <x:cfvo type="percentile" val="50"/>
        <x:cfvo type="max"/>
        <x:color rgb="FFF4D6CA"/>
        <x:color rgb="FFFFFFFF"/>
        <x:color rgb="FFC8DFD4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07A9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</x:row>
    <x:row r="2" ht="24" customHeight="1">
      <x:c r="A2" s="1"/>
      <x:c r="B2" s="1"/>
      <x:c r="C2" s="3" t="str">
        <x:v>GXO financial valuation: Drivers</x:v>
      </x:c>
      <x:c r="D2" s="2"/>
      <x:c r="E2" s="2"/>
      <x:c r="F2" s="2"/>
      <x:c r="G2" s="2"/>
      <x:c r="H2" s="2"/>
      <x:c r="I2" s="2"/>
      <x:c r="J2" s="1"/>
    </x:row>
    <x:row r="3" ht="24" customHeight="1">
      <x:c r="A3" s="1"/>
      <x:c r="B3" s="1"/>
      <x:c r="C3" s="1" t="str">
        <x:v>USD millions, except per-share values. Retrospective FY2025-based case study.</x:v>
      </x:c>
      <x:c r="D3" s="2"/>
      <x:c r="E3" s="2"/>
      <x:c r="F3" s="2"/>
      <x:c r="G3" s="2"/>
      <x:c r="H3" s="2"/>
      <x:c r="I3" s="2"/>
      <x:c r="J3" s="1"/>
    </x:row>
    <x:row r="4" ht="24" customHeight="1">
      <x:c r="A4" s="1"/>
      <x:c r="B4" s="1"/>
      <x:c r="C4" s="1" t="str">
        <x:v>Active case</x:v>
      </x:c>
      <x:c r="D4" s="4" t="str">
        <x:f>'Drivers'!D6</x:f>
        <x:v>Base</x:v>
      </x:c>
      <x:c r="E4" s="2"/>
      <x:c r="F4" s="2"/>
      <x:c r="G4" s="2"/>
      <x:c r="H4" s="2"/>
      <x:c r="I4" s="2"/>
      <x:c r="J4" s="1"/>
    </x:row>
    <x:row r="5" ht="24" customHeight="1">
      <x:c r="A5" s="1"/>
      <x:c r="B5" s="1"/>
      <x:c r="C5" s="1" t="str">
        <x:v>Case: 1 Base, 2 Downside, 3 Upside</x:v>
      </x:c>
      <x:c r="D5" s="19" t="n">
        <x:v>1</x:v>
      </x:c>
      <x:c r="E5" s="2"/>
      <x:c r="F5" s="2"/>
      <x:c r="G5" s="2"/>
      <x:c r="H5" s="2"/>
      <x:c r="I5" s="2"/>
      <x:c r="J5" s="1"/>
    </x:row>
    <x:row r="6" ht="24" customHeight="1">
      <x:c r="A6" s="1"/>
      <x:c r="B6" s="1"/>
      <x:c r="C6" s="1"/>
      <x:c r="D6" s="5" t="str">
        <x:f>CHOOSE(D5,"Base","Downside","Upside")</x:f>
        <x:v>Base</x:v>
      </x:c>
      <x:c r="E6" s="2"/>
      <x:c r="F6" s="2"/>
      <x:c r="G6" s="2"/>
      <x:c r="H6" s="2"/>
      <x:c r="I6" s="2"/>
      <x:c r="J6" s="1"/>
    </x:row>
    <x:row r="7" ht="24" customHeight="1">
      <x:c r="A7" s="1"/>
      <x:c r="B7" s="1"/>
      <x:c r="C7" s="1"/>
      <x:c r="D7" s="2"/>
      <x:c r="E7" s="2" t="str">
        <x:v>2026E</x:v>
      </x:c>
      <x:c r="F7" s="2" t="str">
        <x:v>2027E</x:v>
      </x:c>
      <x:c r="G7" s="2" t="str">
        <x:v>2028E</x:v>
      </x:c>
      <x:c r="H7" s="2" t="str">
        <x:v>2029E</x:v>
      </x:c>
      <x:c r="I7" s="2" t="str">
        <x:v>2030E</x:v>
      </x:c>
      <x:c r="J7" s="1"/>
    </x:row>
    <x:row r="8" ht="24" customHeight="1">
      <x:c r="A8" s="1"/>
      <x:c r="B8" s="1"/>
      <x:c r="C8" s="1" t="str">
        <x:v>Risk-free rate (assumed)</x:v>
      </x:c>
      <x:c r="D8" s="17" t="n">
        <x:v>0.0425</x:v>
      </x:c>
      <x:c r="E8" s="2"/>
      <x:c r="F8" s="2"/>
      <x:c r="G8" s="2"/>
      <x:c r="H8" s="2"/>
      <x:c r="I8" s="2"/>
      <x:c r="J8" s="1"/>
    </x:row>
    <x:row r="9" ht="24" customHeight="1">
      <x:c r="A9" s="1"/>
      <x:c r="B9" s="1"/>
      <x:c r="C9" s="1" t="str">
        <x:v>Levered beta (assumed)</x:v>
      </x:c>
      <x:c r="D9" s="18" t="n">
        <x:v>1.2</x:v>
      </x:c>
      <x:c r="E9" s="2"/>
      <x:c r="F9" s="2"/>
      <x:c r="G9" s="2"/>
      <x:c r="H9" s="2"/>
      <x:c r="I9" s="2"/>
      <x:c r="J9" s="1"/>
    </x:row>
    <x:row r="10" ht="24" customHeight="1">
      <x:c r="A10" s="1"/>
      <x:c r="B10" s="1"/>
      <x:c r="C10" s="1" t="str">
        <x:v>Equity risk premium (assumed)</x:v>
      </x:c>
      <x:c r="D10" s="17" t="n">
        <x:v>0.05</x:v>
      </x:c>
      <x:c r="E10" s="2"/>
      <x:c r="F10" s="2"/>
      <x:c r="G10" s="2"/>
      <x:c r="H10" s="2"/>
      <x:c r="I10" s="2"/>
      <x:c r="J10" s="1"/>
    </x:row>
    <x:row r="11" ht="24" customHeight="1">
      <x:c r="A11" s="1"/>
      <x:c r="B11" s="1"/>
      <x:c r="C11" s="1" t="str">
        <x:v>Target debt / capital (assumed)</x:v>
      </x:c>
      <x:c r="D11" s="17" t="n">
        <x:v>0.25</x:v>
      </x:c>
      <x:c r="E11" s="2"/>
      <x:c r="F11" s="2"/>
      <x:c r="G11" s="2"/>
      <x:c r="H11" s="2"/>
      <x:c r="I11" s="2"/>
      <x:c r="J11" s="1"/>
    </x:row>
    <x:row r="12" ht="24" customHeight="1">
      <x:c r="A12" s="1"/>
      <x:c r="B12" s="1"/>
      <x:c r="C12" s="1" t="str">
        <x:v>Pre-tax debt cost (assumed)</x:v>
      </x:c>
      <x:c r="D12" s="17" t="n">
        <x:v>0.06</x:v>
      </x:c>
      <x:c r="E12" s="2"/>
      <x:c r="F12" s="2"/>
      <x:c r="G12" s="2"/>
      <x:c r="H12" s="2"/>
      <x:c r="I12" s="2"/>
      <x:c r="J12" s="1"/>
    </x:row>
    <x:row r="13" ht="24" customHeight="1">
      <x:c r="A13" s="1"/>
      <x:c r="B13" s="1"/>
      <x:c r="C13" s="1" t="str">
        <x:v>Normalized cash tax rate</x:v>
      </x:c>
      <x:c r="D13" s="17" t="n">
        <x:v>0.25</x:v>
      </x:c>
      <x:c r="E13" s="2"/>
      <x:c r="F13" s="2"/>
      <x:c r="G13" s="2"/>
      <x:c r="H13" s="2"/>
      <x:c r="I13" s="2"/>
      <x:c r="J13" s="1"/>
    </x:row>
    <x:row r="14" ht="24" customHeight="1">
      <x:c r="A14" s="1"/>
      <x:c r="B14" s="1"/>
      <x:c r="C14" s="1" t="str">
        <x:v>Terminal perpetual growth</x:v>
      </x:c>
      <x:c r="D14" s="17" t="n">
        <x:v>0.025</x:v>
      </x:c>
      <x:c r="E14" s="2"/>
      <x:c r="F14" s="2"/>
      <x:c r="G14" s="2"/>
      <x:c r="H14" s="2"/>
      <x:c r="I14" s="2"/>
      <x:c r="J14" s="1"/>
    </x:row>
    <x:row r="15" ht="24" customHeight="1">
      <x:c r="A15" s="1"/>
      <x:c r="B15" s="1"/>
      <x:c r="C15" s="1" t="str">
        <x:v>Terminal return on invested capital</x:v>
      </x:c>
      <x:c r="D15" s="17" t="n">
        <x:v>0.1</x:v>
      </x:c>
      <x:c r="E15" s="2"/>
      <x:c r="F15" s="2"/>
      <x:c r="G15" s="2"/>
      <x:c r="H15" s="2"/>
      <x:c r="I15" s="2"/>
      <x:c r="J15" s="1"/>
    </x:row>
    <x:row r="16" ht="24" customHeight="1">
      <x:c r="A16" s="1"/>
      <x:c r="B16" s="1"/>
      <x:c r="C16" s="1" t="str">
        <x:v>D&amp;A / revenue</x:v>
      </x:c>
      <x:c r="D16" s="17" t="n">
        <x:v>0.03</x:v>
      </x:c>
      <x:c r="E16" s="2"/>
      <x:c r="F16" s="2"/>
      <x:c r="G16" s="2"/>
      <x:c r="H16" s="2"/>
      <x:c r="I16" s="2"/>
      <x:c r="J16" s="1"/>
    </x:row>
    <x:row r="17" ht="24" customHeight="1">
      <x:c r="A17" s="1"/>
      <x:c r="B17" s="1"/>
      <x:c r="C17" s="1" t="str">
        <x:v>Opening NWC / revenue</x:v>
      </x:c>
      <x:c r="D17" s="17" t="n">
        <x:v>0.05</x:v>
      </x:c>
      <x:c r="E17" s="2"/>
      <x:c r="F17" s="2"/>
      <x:c r="G17" s="2"/>
      <x:c r="H17" s="2"/>
      <x:c r="I17" s="2"/>
      <x:c r="J17" s="1"/>
    </x:row>
    <x:row r="18" ht="24" customHeight="1">
      <x:c r="A18" s="1"/>
      <x:c r="B18" s="1"/>
      <x:c r="C18" s="1" t="str">
        <x:v>Required operating cash</x:v>
      </x:c>
      <x:c r="D18" s="18" t="n">
        <x:v>200</x:v>
      </x:c>
      <x:c r="E18" s="2"/>
      <x:c r="F18" s="2"/>
      <x:c r="G18" s="2"/>
      <x:c r="H18" s="2"/>
      <x:c r="I18" s="2"/>
      <x:c r="J18" s="1"/>
    </x:row>
    <x:row r="19" ht="24" customHeight="1">
      <x:c r="A19" s="1"/>
      <x:c r="B19" s="1"/>
      <x:c r="C19" s="1" t="str">
        <x:v>Alternative exit EBITDA multiple</x:v>
      </x:c>
      <x:c r="D19" s="18" t="n">
        <x:v>8.5</x:v>
      </x:c>
      <x:c r="E19" s="2"/>
      <x:c r="F19" s="2"/>
      <x:c r="G19" s="2"/>
      <x:c r="H19" s="2"/>
      <x:c r="I19" s="2"/>
      <x:c r="J19" s="1"/>
    </x:row>
    <x:row r="20" ht="24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1"/>
    </x:row>
    <x:row r="21" ht="24" customHeight="1">
      <x:c r="A21" s="1"/>
      <x:c r="B21" s="1"/>
      <x:c r="C21" s="1" t="str">
        <x:v>Cost of equity</x:v>
      </x:c>
      <x:c r="D21" s="8" t="n">
        <x:f>D8+D9*D10</x:f>
        <x:v>0.10250000000000001</x:v>
      </x:c>
      <x:c r="E21" s="2"/>
      <x:c r="F21" s="2"/>
      <x:c r="G21" s="2"/>
      <x:c r="H21" s="2"/>
      <x:c r="I21" s="2"/>
      <x:c r="J21" s="1"/>
    </x:row>
    <x:row r="22" ht="24" customHeight="1">
      <x:c r="A22" s="1"/>
      <x:c r="B22" s="1"/>
      <x:c r="C22" s="1" t="str">
        <x:v>After-tax cost of debt</x:v>
      </x:c>
      <x:c r="D22" s="8" t="n">
        <x:f>D12*(1-D13)</x:f>
        <x:v>0.045</x:v>
      </x:c>
      <x:c r="E22" s="2"/>
      <x:c r="F22" s="2"/>
      <x:c r="G22" s="2"/>
      <x:c r="H22" s="2"/>
      <x:c r="I22" s="2"/>
      <x:c r="J22" s="1"/>
    </x:row>
    <x:row r="23" ht="24" customHeight="1">
      <x:c r="A23" s="1"/>
      <x:c r="B23" s="1"/>
      <x:c r="C23" s="1" t="str">
        <x:v>Weighted average cost of capital</x:v>
      </x:c>
      <x:c r="D23" s="8" t="n">
        <x:f>D21*(1-D11)+D22*D11</x:f>
        <x:v>0.088125</x:v>
      </x:c>
      <x:c r="E23" s="2"/>
      <x:c r="F23" s="2"/>
      <x:c r="G23" s="2"/>
      <x:c r="H23" s="2"/>
      <x:c r="I23" s="2"/>
      <x:c r="J23" s="1"/>
    </x:row>
    <x:row r="24" ht="24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1"/>
    </x:row>
    <x:row r="25" ht="24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1"/>
    </x:row>
    <x:row r="26" ht="24" customHeight="1">
      <x:c r="A26" s="1"/>
      <x:c r="B26" s="1"/>
      <x:c r="C26" s="11" t="str">
        <x:v>Revenue growth</x:v>
      </x:c>
      <x:c r="D26" s="12"/>
      <x:c r="E26" s="14" t="n">
        <x:f>IF(CHOOSE($D$5,ISBLANK(E27),ISBLANK(E28),ISBLANK(E29)),"Missing",CHOOSE($D$5,E27,E28,E29))</x:f>
        <x:v>0.05</x:v>
      </x:c>
      <x:c r="F26" s="14" t="n">
        <x:f>IF(CHOOSE($D$5,ISBLANK(F27),ISBLANK(F28),ISBLANK(F29)),"Missing",CHOOSE($D$5,F27,F28,F29))</x:f>
        <x:v>0.05</x:v>
      </x:c>
      <x:c r="G26" s="14" t="n">
        <x:f>IF(CHOOSE($D$5,ISBLANK(G27),ISBLANK(G28),ISBLANK(G29)),"Missing",CHOOSE($D$5,G27,G28,G29))</x:f>
        <x:v>0.05</x:v>
      </x:c>
      <x:c r="H26" s="14" t="n">
        <x:f>IF(CHOOSE($D$5,ISBLANK(H27),ISBLANK(H28),ISBLANK(H29)),"Missing",CHOOSE($D$5,H27,H28,H29))</x:f>
        <x:v>0.05</x:v>
      </x:c>
      <x:c r="I26" s="14" t="n">
        <x:f>IF(CHOOSE($D$5,ISBLANK(I27),ISBLANK(I28),ISBLANK(I29)),"Missing",CHOOSE($D$5,I27,I28,I29))</x:f>
        <x:v>0.05</x:v>
      </x:c>
      <x:c r="J26" s="1"/>
    </x:row>
    <x:row r="27" ht="24" customHeight="1">
      <x:c r="A27" s="1"/>
      <x:c r="B27" s="1"/>
      <x:c r="C27" s="1" t="str">
        <x:v>Base</x:v>
      </x:c>
      <x:c r="D27" s="2"/>
      <x:c r="E27" s="16" t="n">
        <x:v>0.05</x:v>
      </x:c>
      <x:c r="F27" s="16" t="n">
        <x:v>0.05</x:v>
      </x:c>
      <x:c r="G27" s="16" t="n">
        <x:v>0.05</x:v>
      </x:c>
      <x:c r="H27" s="16" t="n">
        <x:v>0.05</x:v>
      </x:c>
      <x:c r="I27" s="16" t="n">
        <x:v>0.05</x:v>
      </x:c>
      <x:c r="J27" s="1"/>
    </x:row>
    <x:row r="28" ht="24" customHeight="1">
      <x:c r="A28" s="1"/>
      <x:c r="B28" s="1"/>
      <x:c r="C28" s="1" t="str">
        <x:v>Downside</x:v>
      </x:c>
      <x:c r="D28" s="2"/>
      <x:c r="E28" s="16" t="n">
        <x:v>-0.05</x:v>
      </x:c>
      <x:c r="F28" s="16" t="n">
        <x:v>0</x:v>
      </x:c>
      <x:c r="G28" s="16" t="n">
        <x:v>0.02</x:v>
      </x:c>
      <x:c r="H28" s="16" t="n">
        <x:v>0.02</x:v>
      </x:c>
      <x:c r="I28" s="16" t="n">
        <x:v>0.02</x:v>
      </x:c>
      <x:c r="J28" s="1"/>
    </x:row>
    <x:row r="29" ht="24" customHeight="1">
      <x:c r="A29" s="1"/>
      <x:c r="B29" s="1"/>
      <x:c r="C29" s="1" t="str">
        <x:v>Upside</x:v>
      </x:c>
      <x:c r="D29" s="2"/>
      <x:c r="E29" s="16" t="n">
        <x:v>0.07</x:v>
      </x:c>
      <x:c r="F29" s="16" t="n">
        <x:v>0.07</x:v>
      </x:c>
      <x:c r="G29" s="16" t="n">
        <x:v>0.06</x:v>
      </x:c>
      <x:c r="H29" s="16" t="n">
        <x:v>0.06</x:v>
      </x:c>
      <x:c r="I29" s="16" t="n">
        <x:v>0.05</x:v>
      </x:c>
      <x:c r="J29" s="1"/>
    </x:row>
    <x:row r="30" ht="24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1"/>
    </x:row>
    <x:row r="31" ht="24" customHeight="1">
      <x:c r="A31" s="1"/>
      <x:c r="B31" s="1"/>
      <x:c r="C31" s="11" t="str">
        <x:v>Margin uplift vs FY2025</x:v>
      </x:c>
      <x:c r="D31" s="12"/>
      <x:c r="E31" s="14" t="n">
        <x:f>IF(CHOOSE($D$5,ISBLANK(E32),ISBLANK(E33),ISBLANK(E34)),"Missing",CHOOSE($D$5,E32,E33,E34))</x:f>
        <x:v>0.001</x:v>
      </x:c>
      <x:c r="F31" s="14" t="n">
        <x:f>IF(CHOOSE($D$5,ISBLANK(F32),ISBLANK(F33),ISBLANK(F34)),"Missing",CHOOSE($D$5,F32,F33,F34))</x:f>
        <x:v>0.002</x:v>
      </x:c>
      <x:c r="G31" s="14" t="n">
        <x:f>IF(CHOOSE($D$5,ISBLANK(G32),ISBLANK(G33),ISBLANK(G34)),"Missing",CHOOSE($D$5,G32,G33,G34))</x:f>
        <x:v>0.003</x:v>
      </x:c>
      <x:c r="H31" s="14" t="n">
        <x:f>IF(CHOOSE($D$5,ISBLANK(H32),ISBLANK(H33),ISBLANK(H34)),"Missing",CHOOSE($D$5,H32,H33,H34))</x:f>
        <x:v>0.004</x:v>
      </x:c>
      <x:c r="I31" s="14" t="n">
        <x:f>IF(CHOOSE($D$5,ISBLANK(I32),ISBLANK(I33),ISBLANK(I34)),"Missing",CHOOSE($D$5,I32,I33,I34))</x:f>
        <x:v>0.005</x:v>
      </x:c>
      <x:c r="J31" s="1"/>
    </x:row>
    <x:row r="32" ht="24" customHeight="1">
      <x:c r="A32" s="1"/>
      <x:c r="B32" s="1"/>
      <x:c r="C32" s="1" t="str">
        <x:v>Base</x:v>
      </x:c>
      <x:c r="D32" s="2"/>
      <x:c r="E32" s="16" t="n">
        <x:v>0.001</x:v>
      </x:c>
      <x:c r="F32" s="16" t="n">
        <x:v>0.002</x:v>
      </x:c>
      <x:c r="G32" s="16" t="n">
        <x:v>0.003</x:v>
      </x:c>
      <x:c r="H32" s="16" t="n">
        <x:v>0.004</x:v>
      </x:c>
      <x:c r="I32" s="16" t="n">
        <x:v>0.005</x:v>
      </x:c>
      <x:c r="J32" s="1"/>
    </x:row>
    <x:row r="33" ht="24" customHeight="1">
      <x:c r="A33" s="1"/>
      <x:c r="B33" s="1"/>
      <x:c r="C33" s="1" t="str">
        <x:v>Downside</x:v>
      </x:c>
      <x:c r="D33" s="2"/>
      <x:c r="E33" s="16" t="n">
        <x:v>-0.0075</x:v>
      </x:c>
      <x:c r="F33" s="16" t="n">
        <x:v>-0.005</x:v>
      </x:c>
      <x:c r="G33" s="16" t="n">
        <x:v>-0.0025</x:v>
      </x:c>
      <x:c r="H33" s="16" t="n">
        <x:v>0</x:v>
      </x:c>
      <x:c r="I33" s="16" t="n">
        <x:v>0</x:v>
      </x:c>
      <x:c r="J33" s="1"/>
    </x:row>
    <x:row r="34" ht="24" customHeight="1">
      <x:c r="A34" s="1"/>
      <x:c r="B34" s="1"/>
      <x:c r="C34" s="1" t="str">
        <x:v>Upside</x:v>
      </x:c>
      <x:c r="D34" s="2"/>
      <x:c r="E34" s="16" t="n">
        <x:v>0.002</x:v>
      </x:c>
      <x:c r="F34" s="16" t="n">
        <x:v>0.004</x:v>
      </x:c>
      <x:c r="G34" s="16" t="n">
        <x:v>0.006</x:v>
      </x:c>
      <x:c r="H34" s="16" t="n">
        <x:v>0.008</x:v>
      </x:c>
      <x:c r="I34" s="16" t="n">
        <x:v>0.01</x:v>
      </x:c>
      <x:c r="J34" s="1"/>
    </x:row>
    <x:row r="35" ht="24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1"/>
    </x:row>
    <x:row r="36" ht="24" customHeight="1">
      <x:c r="A36" s="1"/>
      <x:c r="B36" s="1"/>
      <x:c r="C36" s="11" t="str">
        <x:v>Recurring-cost allowance / revenue</x:v>
      </x:c>
      <x:c r="D36" s="12"/>
      <x:c r="E36" s="14" t="n">
        <x:f>IF(CHOOSE($D$5,ISBLANK(E37),ISBLANK(E38),ISBLANK(E39)),"Missing",CHOOSE($D$5,E37,E38,E39))</x:f>
        <x:v>0.005</x:v>
      </x:c>
      <x:c r="F36" s="14" t="n">
        <x:f>IF(CHOOSE($D$5,ISBLANK(F37),ISBLANK(F38),ISBLANK(F39)),"Missing",CHOOSE($D$5,F37,F38,F39))</x:f>
        <x:v>0.005</x:v>
      </x:c>
      <x:c r="G36" s="14" t="n">
        <x:f>IF(CHOOSE($D$5,ISBLANK(G37),ISBLANK(G38),ISBLANK(G39)),"Missing",CHOOSE($D$5,G37,G38,G39))</x:f>
        <x:v>0.005</x:v>
      </x:c>
      <x:c r="H36" s="14" t="n">
        <x:f>IF(CHOOSE($D$5,ISBLANK(H37),ISBLANK(H38),ISBLANK(H39)),"Missing",CHOOSE($D$5,H37,H38,H39))</x:f>
        <x:v>0.005</x:v>
      </x:c>
      <x:c r="I36" s="14" t="n">
        <x:f>IF(CHOOSE($D$5,ISBLANK(I37),ISBLANK(I38),ISBLANK(I39)),"Missing",CHOOSE($D$5,I37,I38,I39))</x:f>
        <x:v>0.005</x:v>
      </x:c>
      <x:c r="J36" s="1"/>
    </x:row>
    <x:row r="37" ht="24" customHeight="1">
      <x:c r="A37" s="1"/>
      <x:c r="B37" s="1"/>
      <x:c r="C37" s="1" t="str">
        <x:v>Base</x:v>
      </x:c>
      <x:c r="D37" s="2"/>
      <x:c r="E37" s="16" t="n">
        <x:v>0.005</x:v>
      </x:c>
      <x:c r="F37" s="16" t="n">
        <x:v>0.005</x:v>
      </x:c>
      <x:c r="G37" s="16" t="n">
        <x:v>0.005</x:v>
      </x:c>
      <x:c r="H37" s="16" t="n">
        <x:v>0.005</x:v>
      </x:c>
      <x:c r="I37" s="16" t="n">
        <x:v>0.005</x:v>
      </x:c>
      <x:c r="J37" s="1"/>
    </x:row>
    <x:row r="38" ht="24" customHeight="1">
      <x:c r="A38" s="1"/>
      <x:c r="B38" s="1"/>
      <x:c r="C38" s="1" t="str">
        <x:v>Downside</x:v>
      </x:c>
      <x:c r="D38" s="2"/>
      <x:c r="E38" s="16" t="n">
        <x:v>0.0075</x:v>
      </x:c>
      <x:c r="F38" s="16" t="n">
        <x:v>0.0075</x:v>
      </x:c>
      <x:c r="G38" s="16" t="n">
        <x:v>0.0075</x:v>
      </x:c>
      <x:c r="H38" s="16" t="n">
        <x:v>0.0075</x:v>
      </x:c>
      <x:c r="I38" s="16" t="n">
        <x:v>0.0075</x:v>
      </x:c>
      <x:c r="J38" s="1"/>
    </x:row>
    <x:row r="39" ht="24" customHeight="1">
      <x:c r="A39" s="1"/>
      <x:c r="B39" s="1"/>
      <x:c r="C39" s="1" t="str">
        <x:v>Upside</x:v>
      </x:c>
      <x:c r="D39" s="2"/>
      <x:c r="E39" s="16" t="n">
        <x:v>0.005</x:v>
      </x:c>
      <x:c r="F39" s="16" t="n">
        <x:v>0.005</x:v>
      </x:c>
      <x:c r="G39" s="16" t="n">
        <x:v>0.005</x:v>
      </x:c>
      <x:c r="H39" s="16" t="n">
        <x:v>0.005</x:v>
      </x:c>
      <x:c r="I39" s="16" t="n">
        <x:v>0.005</x:v>
      </x:c>
      <x:c r="J39" s="1"/>
    </x:row>
    <x:row r="40" ht="24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1"/>
    </x:row>
    <x:row r="41" ht="24" customHeight="1">
      <x:c r="A41" s="1"/>
      <x:c r="B41" s="1"/>
      <x:c r="C41" s="11" t="str">
        <x:v>Capital expenditure / revenue</x:v>
      </x:c>
      <x:c r="D41" s="12"/>
      <x:c r="E41" s="14" t="n">
        <x:f>IF(CHOOSE($D$5,ISBLANK(E42),ISBLANK(E43),ISBLANK(E44)),"Missing",CHOOSE($D$5,E42,E43,E44))</x:f>
        <x:v>0.025</x:v>
      </x:c>
      <x:c r="F41" s="14" t="n">
        <x:f>IF(CHOOSE($D$5,ISBLANK(F42),ISBLANK(F43),ISBLANK(F44)),"Missing",CHOOSE($D$5,F42,F43,F44))</x:f>
        <x:v>0.025</x:v>
      </x:c>
      <x:c r="G41" s="14" t="n">
        <x:f>IF(CHOOSE($D$5,ISBLANK(G42),ISBLANK(G43),ISBLANK(G44)),"Missing",CHOOSE($D$5,G42,G43,G44))</x:f>
        <x:v>0.025</x:v>
      </x:c>
      <x:c r="H41" s="14" t="n">
        <x:f>IF(CHOOSE($D$5,ISBLANK(H42),ISBLANK(H43),ISBLANK(H44)),"Missing",CHOOSE($D$5,H42,H43,H44))</x:f>
        <x:v>0.025</x:v>
      </x:c>
      <x:c r="I41" s="14" t="n">
        <x:f>IF(CHOOSE($D$5,ISBLANK(I42),ISBLANK(I43),ISBLANK(I44)),"Missing",CHOOSE($D$5,I42,I43,I44))</x:f>
        <x:v>0.025</x:v>
      </x:c>
      <x:c r="J41" s="1"/>
    </x:row>
    <x:row r="42" ht="24" customHeight="1">
      <x:c r="A42" s="1"/>
      <x:c r="B42" s="1"/>
      <x:c r="C42" s="1" t="str">
        <x:v>Base</x:v>
      </x:c>
      <x:c r="D42" s="2"/>
      <x:c r="E42" s="16" t="n">
        <x:v>0.025</x:v>
      </x:c>
      <x:c r="F42" s="16" t="n">
        <x:v>0.025</x:v>
      </x:c>
      <x:c r="G42" s="16" t="n">
        <x:v>0.025</x:v>
      </x:c>
      <x:c r="H42" s="16" t="n">
        <x:v>0.025</x:v>
      </x:c>
      <x:c r="I42" s="16" t="n">
        <x:v>0.025</x:v>
      </x:c>
      <x:c r="J42" s="1"/>
    </x:row>
    <x:row r="43" ht="24" customHeight="1">
      <x:c r="A43" s="1"/>
      <x:c r="B43" s="1"/>
      <x:c r="C43" s="1" t="str">
        <x:v>Downside</x:v>
      </x:c>
      <x:c r="D43" s="2"/>
      <x:c r="E43" s="16" t="n">
        <x:v>0.03</x:v>
      </x:c>
      <x:c r="F43" s="16" t="n">
        <x:v>0.03</x:v>
      </x:c>
      <x:c r="G43" s="16" t="n">
        <x:v>0.03</x:v>
      </x:c>
      <x:c r="H43" s="16" t="n">
        <x:v>0.03</x:v>
      </x:c>
      <x:c r="I43" s="16" t="n">
        <x:v>0.03</x:v>
      </x:c>
      <x:c r="J43" s="1"/>
    </x:row>
    <x:row r="44" ht="24" customHeight="1">
      <x:c r="A44" s="1"/>
      <x:c r="B44" s="1"/>
      <x:c r="C44" s="1" t="str">
        <x:v>Upside</x:v>
      </x:c>
      <x:c r="D44" s="2"/>
      <x:c r="E44" s="16" t="n">
        <x:v>0.028</x:v>
      </x:c>
      <x:c r="F44" s="16" t="n">
        <x:v>0.028</x:v>
      </x:c>
      <x:c r="G44" s="16" t="n">
        <x:v>0.028</x:v>
      </x:c>
      <x:c r="H44" s="16" t="n">
        <x:v>0.028</x:v>
      </x:c>
      <x:c r="I44" s="16" t="n">
        <x:v>0.028</x:v>
      </x:c>
      <x:c r="J44" s="1"/>
    </x:row>
    <x:row r="45" ht="24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1"/>
    </x:row>
    <x:row r="46" ht="24" customHeight="1">
      <x:c r="A46" s="1"/>
      <x:c r="B46" s="1"/>
      <x:c r="C46" s="11" t="str">
        <x:v>Operating NWC / revenue</x:v>
      </x:c>
      <x:c r="D46" s="12"/>
      <x:c r="E46" s="14" t="n">
        <x:f>IF(CHOOSE($D$5,ISBLANK(E47),ISBLANK(E48),ISBLANK(E49)),"Missing",CHOOSE($D$5,E47,E48,E49))</x:f>
        <x:v>0.05</x:v>
      </x:c>
      <x:c r="F46" s="14" t="n">
        <x:f>IF(CHOOSE($D$5,ISBLANK(F47),ISBLANK(F48),ISBLANK(F49)),"Missing",CHOOSE($D$5,F47,F48,F49))</x:f>
        <x:v>0.05</x:v>
      </x:c>
      <x:c r="G46" s="14" t="n">
        <x:f>IF(CHOOSE($D$5,ISBLANK(G47),ISBLANK(G48),ISBLANK(G49)),"Missing",CHOOSE($D$5,G47,G48,G49))</x:f>
        <x:v>0.05</x:v>
      </x:c>
      <x:c r="H46" s="14" t="n">
        <x:f>IF(CHOOSE($D$5,ISBLANK(H47),ISBLANK(H48),ISBLANK(H49)),"Missing",CHOOSE($D$5,H47,H48,H49))</x:f>
        <x:v>0.05</x:v>
      </x:c>
      <x:c r="I46" s="14" t="n">
        <x:f>IF(CHOOSE($D$5,ISBLANK(I47),ISBLANK(I48),ISBLANK(I49)),"Missing",CHOOSE($D$5,I47,I48,I49))</x:f>
        <x:v>0.05</x:v>
      </x:c>
      <x:c r="J46" s="1"/>
    </x:row>
    <x:row r="47" ht="24" customHeight="1">
      <x:c r="A47" s="1"/>
      <x:c r="B47" s="1"/>
      <x:c r="C47" s="1" t="str">
        <x:v>Base</x:v>
      </x:c>
      <x:c r="D47" s="2"/>
      <x:c r="E47" s="16" t="n">
        <x:v>0.05</x:v>
      </x:c>
      <x:c r="F47" s="16" t="n">
        <x:v>0.05</x:v>
      </x:c>
      <x:c r="G47" s="16" t="n">
        <x:v>0.05</x:v>
      </x:c>
      <x:c r="H47" s="16" t="n">
        <x:v>0.05</x:v>
      </x:c>
      <x:c r="I47" s="16" t="n">
        <x:v>0.05</x:v>
      </x:c>
      <x:c r="J47" s="1"/>
    </x:row>
    <x:row r="48" ht="24" customHeight="1">
      <x:c r="A48" s="1"/>
      <x:c r="B48" s="1"/>
      <x:c r="C48" s="1" t="str">
        <x:v>Downside</x:v>
      </x:c>
      <x:c r="D48" s="2"/>
      <x:c r="E48" s="16" t="n">
        <x:v>0.06</x:v>
      </x:c>
      <x:c r="F48" s="16" t="n">
        <x:v>0.06</x:v>
      </x:c>
      <x:c r="G48" s="16" t="n">
        <x:v>0.06</x:v>
      </x:c>
      <x:c r="H48" s="16" t="n">
        <x:v>0.06</x:v>
      </x:c>
      <x:c r="I48" s="16" t="n">
        <x:v>0.06</x:v>
      </x:c>
      <x:c r="J48" s="1"/>
    </x:row>
    <x:row r="49" ht="24" customHeight="1">
      <x:c r="A49" s="1"/>
      <x:c r="B49" s="1"/>
      <x:c r="C49" s="1" t="str">
        <x:v>Upside</x:v>
      </x:c>
      <x:c r="D49" s="2"/>
      <x:c r="E49" s="16" t="n">
        <x:v>0.05</x:v>
      </x:c>
      <x:c r="F49" s="16" t="n">
        <x:v>0.05</x:v>
      </x:c>
      <x:c r="G49" s="16" t="n">
        <x:v>0.05</x:v>
      </x:c>
      <x:c r="H49" s="16" t="n">
        <x:v>0.05</x:v>
      </x:c>
      <x:c r="I49" s="16" t="n">
        <x:v>0.05</x:v>
      </x:c>
      <x:c r="J49" s="1"/>
    </x:row>
    <x:row r="50" ht="24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1"/>
    </x:row>
    <x:row r="51" ht="24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1"/>
    </x:row>
    <x:row r="52" ht="24" customHeight="1">
      <x:c r="A52" s="1"/>
      <x:c r="B52" s="1"/>
      <x:c r="C52" s="1" t="str">
        <x:v>All forecast and discount-rate drivers are illustrative assumptions, not market quotes.</x:v>
      </x:c>
      <x:c r="D52" s="2"/>
      <x:c r="E52" s="2"/>
      <x:c r="F52" s="2"/>
      <x:c r="G52" s="2"/>
      <x:c r="H52" s="2"/>
      <x:c r="I52" s="2"/>
      <x:c r="J52" s="1"/>
    </x:row>
    <x:row r="53" ht="24" customHeight="1">
      <x:c r="A53" s="1"/>
      <x:c r="B53" s="1"/>
      <x:c r="C53" s="1" t="str">
        <x:v>Cost of equity = risk-free rate + levered beta x equity risk premium.</x:v>
      </x:c>
      <x:c r="D53" s="2"/>
      <x:c r="E53" s="2"/>
      <x:c r="F53" s="2"/>
      <x:c r="G53" s="2"/>
      <x:c r="H53" s="2"/>
      <x:c r="I53" s="2"/>
      <x:c r="J53" s="1"/>
    </x:row>
    <x:row r="54" ht="24" customHeight="1">
      <x:c r="A54" s="1"/>
      <x:c r="B54" s="1"/>
      <x:c r="C54" s="1" t="str">
        <x:v>WACC uses target capital weights, not book-value weights.</x:v>
      </x:c>
      <x:c r="D54" s="2"/>
      <x:c r="E54" s="2"/>
      <x:c r="F54" s="2"/>
      <x:c r="G54" s="2"/>
      <x:c r="H54" s="2"/>
      <x:c r="I54" s="2"/>
      <x:c r="J54" s="1"/>
    </x:row>
    <x:row r="55" ht="24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</x:row>
    <x:row r="56" ht="24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4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4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4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4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4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4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4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4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4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4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  <x:row r="67" ht="24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1"/>
    </x:row>
    <x:row r="68" ht="24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1"/>
    </x:row>
    <x:row r="69" ht="24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1"/>
    </x:row>
    <x:row r="70" ht="24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1"/>
    </x:row>
  </x:sheetData>
  <x:dataValidations count="1">
    <x:dataValidation type="list" sqref="D5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07A9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</x:row>
    <x:row r="2" ht="24" customHeight="1">
      <x:c r="A2" s="1"/>
      <x:c r="B2" s="1"/>
      <x:c r="C2" s="3" t="str">
        <x:v>GXO financial valuation: DCF</x:v>
      </x:c>
      <x:c r="D2" s="2"/>
      <x:c r="E2" s="2"/>
      <x:c r="F2" s="2"/>
      <x:c r="G2" s="2"/>
      <x:c r="H2" s="2"/>
      <x:c r="I2" s="2"/>
      <x:c r="J2" s="1"/>
    </x:row>
    <x:row r="3" ht="24" customHeight="1">
      <x:c r="A3" s="1"/>
      <x:c r="B3" s="1"/>
      <x:c r="C3" s="1" t="str">
        <x:v>USD millions, except per-share values. Retrospective FY2025-based case study.</x:v>
      </x:c>
      <x:c r="D3" s="2"/>
      <x:c r="E3" s="2"/>
      <x:c r="F3" s="2"/>
      <x:c r="G3" s="2"/>
      <x:c r="H3" s="2"/>
      <x:c r="I3" s="2"/>
      <x:c r="J3" s="1"/>
    </x:row>
    <x:row r="4" ht="24" customHeight="1">
      <x:c r="A4" s="1"/>
      <x:c r="B4" s="1"/>
      <x:c r="C4" s="1" t="str">
        <x:v>Active case</x:v>
      </x:c>
      <x:c r="D4" s="4" t="str">
        <x:f>'Drivers'!D6</x:f>
        <x:v>Base</x:v>
      </x:c>
      <x:c r="E4" s="2"/>
      <x:c r="F4" s="2"/>
      <x:c r="G4" s="2"/>
      <x:c r="H4" s="2"/>
      <x:c r="I4" s="2"/>
      <x:c r="J4" s="1"/>
    </x:row>
    <x:row r="5" ht="24" customHeight="1">
      <x:c r="A5" s="1"/>
      <x:c r="B5" s="1"/>
      <x:c r="C5" s="1"/>
      <x:c r="D5" s="2"/>
      <x:c r="E5" s="2"/>
      <x:c r="F5" s="2"/>
      <x:c r="G5" s="2"/>
      <x:c r="H5" s="2"/>
      <x:c r="I5" s="2"/>
      <x:c r="J5" s="1"/>
    </x:row>
    <x:row r="6" ht="24" customHeight="1">
      <x:c r="A6" s="1"/>
      <x:c r="B6" s="1"/>
      <x:c r="C6" s="11" t="str">
        <x:v>Forecast and free cash flow to the firm</x:v>
      </x:c>
      <x:c r="D6" s="12"/>
      <x:c r="E6" s="12"/>
      <x:c r="F6" s="12"/>
      <x:c r="G6" s="12"/>
      <x:c r="H6" s="12"/>
      <x:c r="I6" s="12"/>
      <x:c r="J6" s="1"/>
    </x:row>
    <x:row r="7" ht="24" customHeight="1">
      <x:c r="A7" s="1"/>
      <x:c r="B7" s="1"/>
      <x:c r="C7" s="1"/>
      <x:c r="D7" s="2" t="str">
        <x:v>2025A</x:v>
      </x:c>
      <x:c r="E7" s="2" t="str">
        <x:v>2026E</x:v>
      </x:c>
      <x:c r="F7" s="2" t="str">
        <x:v>2027E</x:v>
      </x:c>
      <x:c r="G7" s="2" t="str">
        <x:v>2028E</x:v>
      </x:c>
      <x:c r="H7" s="2" t="str">
        <x:v>2029E</x:v>
      </x:c>
      <x:c r="I7" s="2" t="str">
        <x:v>2030E</x:v>
      </x:c>
      <x:c r="J7" s="1"/>
    </x:row>
    <x:row r="8" ht="24" customHeight="1">
      <x:c r="A8" s="1"/>
      <x:c r="B8" s="1"/>
      <x:c r="C8" s="1" t="str">
        <x:v>Revenue</x:v>
      </x:c>
      <x:c r="D8" s="4" t="n">
        <x:f>'History'!E8</x:f>
        <x:v>13178</x:v>
      </x:c>
      <x:c r="E8" s="5" t="n">
        <x:f>D8*(1+E9)</x:f>
        <x:v>13836.900000000001</x:v>
      </x:c>
      <x:c r="F8" s="5" t="n">
        <x:f>E8*(1+F9)</x:f>
        <x:v>14528.745000000003</x:v>
      </x:c>
      <x:c r="G8" s="5" t="n">
        <x:f>F8*(1+G9)</x:f>
        <x:v>15255.182250000003</x:v>
      </x:c>
      <x:c r="H8" s="5" t="n">
        <x:f>G8*(1+H9)</x:f>
        <x:v>16017.941362500005</x:v>
      </x:c>
      <x:c r="I8" s="5" t="n">
        <x:f>H8*(1+I9)</x:f>
        <x:v>16818.838430625005</x:v>
      </x:c>
      <x:c r="J8" s="1"/>
    </x:row>
    <x:row r="9" ht="24" customHeight="1">
      <x:c r="A9" s="1"/>
      <x:c r="B9" s="1"/>
      <x:c r="C9" s="1" t="str">
        <x:v>Revenue growth</x:v>
      </x:c>
      <x:c r="D9" s="7"/>
      <x:c r="E9" s="22" t="n">
        <x:f>'Drivers'!E26</x:f>
        <x:v>0.05</x:v>
      </x:c>
      <x:c r="F9" s="22" t="n">
        <x:f>'Drivers'!F26</x:f>
        <x:v>0.05</x:v>
      </x:c>
      <x:c r="G9" s="22" t="n">
        <x:f>'Drivers'!G26</x:f>
        <x:v>0.05</x:v>
      </x:c>
      <x:c r="H9" s="22" t="n">
        <x:f>'Drivers'!H26</x:f>
        <x:v>0.05</x:v>
      </x:c>
      <x:c r="I9" s="22" t="n">
        <x:f>'Drivers'!I26</x:f>
        <x:v>0.05</x:v>
      </x:c>
      <x:c r="J9" s="1"/>
    </x:row>
    <x:row r="10" ht="24" customHeight="1">
      <x:c r="A10" s="1"/>
      <x:c r="B10" s="1"/>
      <x:c r="C10" s="1" t="str">
        <x:v>Adjusted EBITDA margin</x:v>
      </x:c>
      <x:c r="D10" s="22" t="n">
        <x:f>'History'!E9/'History'!E8</x:f>
        <x:v>0.06685384732129307</x:v>
      </x:c>
      <x:c r="E10" s="22" t="n">
        <x:f>$D$10+'Drivers'!E31</x:f>
        <x:v>0.06785384732129307</x:v>
      </x:c>
      <x:c r="F10" s="22" t="n">
        <x:f>$D$10+'Drivers'!F31</x:f>
        <x:v>0.06885384732129307</x:v>
      </x:c>
      <x:c r="G10" s="22" t="n">
        <x:f>$D$10+'Drivers'!G31</x:f>
        <x:v>0.06985384732129307</x:v>
      </x:c>
      <x:c r="H10" s="22" t="n">
        <x:f>$D$10+'Drivers'!H31</x:f>
        <x:v>0.07085384732129307</x:v>
      </x:c>
      <x:c r="I10" s="22" t="n">
        <x:f>$D$10+'Drivers'!I31</x:f>
        <x:v>0.07185384732129307</x:v>
      </x:c>
      <x:c r="J10" s="1"/>
    </x:row>
    <x:row r="11" ht="24" customHeight="1">
      <x:c r="A11" s="1"/>
      <x:c r="B11" s="1"/>
      <x:c r="C11" s="1" t="str">
        <x:v>Adjusted EBITDA</x:v>
      </x:c>
      <x:c r="D11" s="4" t="n">
        <x:f>'History'!E9</x:f>
        <x:v>881</x:v>
      </x:c>
      <x:c r="E11" s="5" t="n">
        <x:f>E8*E10</x:f>
        <x:v>938.8869000000002</x:v>
      </x:c>
      <x:c r="F11" s="5" t="n">
        <x:f>F8*F10</x:f>
        <x:v>1000.3599900000003</x:v>
      </x:c>
      <x:c r="G11" s="5" t="n">
        <x:f>G8*G10</x:f>
        <x:v>1065.6331717500004</x:v>
      </x:c>
      <x:c r="H11" s="5" t="n">
        <x:f>H8*H10</x:f>
        <x:v>1134.9327717000006</x:v>
      </x:c>
      <x:c r="I11" s="5" t="n">
        <x:f>I8*I10</x:f>
        <x:v>1208.4982487156256</x:v>
      </x:c>
      <x:c r="J11" s="1"/>
    </x:row>
    <x:row r="12" ht="24" customHeight="1">
      <x:c r="A12" s="1"/>
      <x:c r="B12" s="1"/>
      <x:c r="C12" s="1" t="str">
        <x:v>Recurring-cost allowance</x:v>
      </x:c>
      <x:c r="D12" s="2"/>
      <x:c r="E12" s="4" t="n">
        <x:f>E8*'Drivers'!E36</x:f>
        <x:v>69.18450000000001</x:v>
      </x:c>
      <x:c r="F12" s="4" t="n">
        <x:f>F8*'Drivers'!F36</x:f>
        <x:v>72.64372500000002</x:v>
      </x:c>
      <x:c r="G12" s="4" t="n">
        <x:f>G8*'Drivers'!G36</x:f>
        <x:v>76.27591125000002</x:v>
      </x:c>
      <x:c r="H12" s="4" t="n">
        <x:f>H8*'Drivers'!H36</x:f>
        <x:v>80.08970681250003</x:v>
      </x:c>
      <x:c r="I12" s="4" t="n">
        <x:f>I8*'Drivers'!I36</x:f>
        <x:v>84.09419215312502</x:v>
      </x:c>
      <x:c r="J12" s="1"/>
    </x:row>
    <x:row r="13" ht="24" customHeight="1">
      <x:c r="A13" s="1"/>
      <x:c r="B13" s="1"/>
      <x:c r="C13" s="1" t="str">
        <x:v>Normalized EBITDA proxy</x:v>
      </x:c>
      <x:c r="D13" s="2"/>
      <x:c r="E13" s="5" t="n">
        <x:f>E11-E12</x:f>
        <x:v>869.7024000000001</x:v>
      </x:c>
      <x:c r="F13" s="5" t="n">
        <x:f>F11-F12</x:f>
        <x:v>927.7162650000002</x:v>
      </x:c>
      <x:c r="G13" s="5" t="n">
        <x:f>G11-G12</x:f>
        <x:v>989.3572605000004</x:v>
      </x:c>
      <x:c r="H13" s="5" t="n">
        <x:f>H11-H12</x:f>
        <x:v>1054.8430648875005</x:v>
      </x:c>
      <x:c r="I13" s="5" t="n">
        <x:f>I11-I12</x:f>
        <x:v>1124.4040565625005</x:v>
      </x:c>
      <x:c r="J13" s="1"/>
    </x:row>
    <x:row r="14" ht="24" customHeight="1">
      <x:c r="A14" s="1"/>
      <x:c r="B14" s="1"/>
      <x:c r="C14" s="1" t="str">
        <x:v>Depreciation and amortization</x:v>
      </x:c>
      <x:c r="D14" s="2"/>
      <x:c r="E14" s="4" t="n">
        <x:f>E8*'Drivers'!$D$16</x:f>
        <x:v>415.107</x:v>
      </x:c>
      <x:c r="F14" s="4" t="n">
        <x:f>F8*'Drivers'!$D$16</x:f>
        <x:v>435.86235000000005</x:v>
      </x:c>
      <x:c r="G14" s="4" t="n">
        <x:f>G8*'Drivers'!$D$16</x:f>
        <x:v>457.6554675000001</x:v>
      </x:c>
      <x:c r="H14" s="4" t="n">
        <x:f>H8*'Drivers'!$D$16</x:f>
        <x:v>480.53824087500016</x:v>
      </x:c>
      <x:c r="I14" s="4" t="n">
        <x:f>I8*'Drivers'!$D$16</x:f>
        <x:v>504.56515291875013</x:v>
      </x:c>
      <x:c r="J14" s="1"/>
    </x:row>
    <x:row r="15" ht="24" customHeight="1">
      <x:c r="A15" s="1"/>
      <x:c r="B15" s="1"/>
      <x:c r="C15" s="1" t="str">
        <x:v>Normalized EBIT proxy</x:v>
      </x:c>
      <x:c r="D15" s="2"/>
      <x:c r="E15" s="5" t="n">
        <x:f>E13-E14</x:f>
        <x:v>454.5954000000001</x:v>
      </x:c>
      <x:c r="F15" s="5" t="n">
        <x:f>F13-F14</x:f>
        <x:v>491.8539150000002</x:v>
      </x:c>
      <x:c r="G15" s="5" t="n">
        <x:f>G13-G14</x:f>
        <x:v>531.7017930000003</x:v>
      </x:c>
      <x:c r="H15" s="5" t="n">
        <x:f>H13-H14</x:f>
        <x:v>574.3048240125004</x:v>
      </x:c>
      <x:c r="I15" s="5" t="n">
        <x:f>I13-I14</x:f>
        <x:v>619.8389036437504</x:v>
      </x:c>
      <x:c r="J15" s="1"/>
    </x:row>
    <x:row r="16" ht="24" customHeight="1">
      <x:c r="A16" s="1"/>
      <x:c r="B16" s="1"/>
      <x:c r="C16" s="1" t="str">
        <x:v>Cash taxes on operating income</x:v>
      </x:c>
      <x:c r="D16" s="2"/>
      <x:c r="E16" s="4" t="n">
        <x:f>MAX(0,E15)*'Drivers'!$D$13</x:f>
        <x:v>113.64885000000002</x:v>
      </x:c>
      <x:c r="F16" s="4" t="n">
        <x:f>MAX(0,F15)*'Drivers'!$D$13</x:f>
        <x:v>122.96347875000005</x:v>
      </x:c>
      <x:c r="G16" s="4" t="n">
        <x:f>MAX(0,G15)*'Drivers'!$D$13</x:f>
        <x:v>132.92544825000007</x:v>
      </x:c>
      <x:c r="H16" s="4" t="n">
        <x:f>MAX(0,H15)*'Drivers'!$D$13</x:f>
        <x:v>143.5762060031251</x:v>
      </x:c>
      <x:c r="I16" s="4" t="n">
        <x:f>MAX(0,I15)*'Drivers'!$D$13</x:f>
        <x:v>154.9597259109376</x:v>
      </x:c>
      <x:c r="J16" s="1"/>
    </x:row>
    <x:row r="17" ht="24" customHeight="1">
      <x:c r="A17" s="1"/>
      <x:c r="B17" s="1"/>
      <x:c r="C17" s="1" t="str">
        <x:v>Net operating profit after tax (NOPAT)</x:v>
      </x:c>
      <x:c r="D17" s="2"/>
      <x:c r="E17" s="5" t="n">
        <x:f>E15-E16</x:f>
        <x:v>340.94655000000006</x:v>
      </x:c>
      <x:c r="F17" s="5" t="n">
        <x:f>F15-F16</x:f>
        <x:v>368.89043625000016</x:v>
      </x:c>
      <x:c r="G17" s="5" t="n">
        <x:f>G15-G16</x:f>
        <x:v>398.77634475000025</x:v>
      </x:c>
      <x:c r="H17" s="5" t="n">
        <x:f>H15-H16</x:f>
        <x:v>430.7286180093753</x:v>
      </x:c>
      <x:c r="I17" s="5" t="n">
        <x:f>I15-I16</x:f>
        <x:v>464.8791777328128</x:v>
      </x:c>
      <x:c r="J17" s="1"/>
    </x:row>
    <x:row r="18" ht="24" customHeight="1">
      <x:c r="A18" s="1"/>
      <x:c r="B18" s="1"/>
      <x:c r="C18" s="1" t="str">
        <x:v>Capital expenditure</x:v>
      </x:c>
      <x:c r="D18" s="2"/>
      <x:c r="E18" s="4" t="n">
        <x:f>E8*'Drivers'!E41</x:f>
        <x:v>345.92250000000007</x:v>
      </x:c>
      <x:c r="F18" s="4" t="n">
        <x:f>F8*'Drivers'!F41</x:f>
        <x:v>363.2186250000001</x:v>
      </x:c>
      <x:c r="G18" s="4" t="n">
        <x:f>G8*'Drivers'!G41</x:f>
        <x:v>381.3795562500001</x:v>
      </x:c>
      <x:c r="H18" s="4" t="n">
        <x:f>H8*'Drivers'!H41</x:f>
        <x:v>400.44853406250013</x:v>
      </x:c>
      <x:c r="I18" s="4" t="n">
        <x:f>I8*'Drivers'!I41</x:f>
        <x:v>420.47096076562514</x:v>
      </x:c>
      <x:c r="J18" s="1"/>
    </x:row>
    <x:row r="19" ht="24" customHeight="1">
      <x:c r="A19" s="1"/>
      <x:c r="B19" s="1"/>
      <x:c r="C19" s="1" t="str">
        <x:v>Operating net working capital</x:v>
      </x:c>
      <x:c r="D19" s="4" t="n">
        <x:f>D8*'Drivers'!D17</x:f>
        <x:v>658.9000000000001</x:v>
      </x:c>
      <x:c r="E19" s="4" t="n">
        <x:f>E8*'Drivers'!E46</x:f>
        <x:v>691.8450000000001</x:v>
      </x:c>
      <x:c r="F19" s="4" t="n">
        <x:f>F8*'Drivers'!F46</x:f>
        <x:v>726.4372500000002</x:v>
      </x:c>
      <x:c r="G19" s="4" t="n">
        <x:f>G8*'Drivers'!G46</x:f>
        <x:v>762.7591125000002</x:v>
      </x:c>
      <x:c r="H19" s="4" t="n">
        <x:f>H8*'Drivers'!H46</x:f>
        <x:v>800.8970681250003</x:v>
      </x:c>
      <x:c r="I19" s="4" t="n">
        <x:f>I8*'Drivers'!I46</x:f>
        <x:v>840.9419215312503</x:v>
      </x:c>
      <x:c r="J19" s="1"/>
    </x:row>
    <x:row r="20" ht="24" customHeight="1">
      <x:c r="A20" s="1"/>
      <x:c r="B20" s="1"/>
      <x:c r="C20" s="1" t="str">
        <x:v>Increase / (release) in NWC</x:v>
      </x:c>
      <x:c r="D20" s="2"/>
      <x:c r="E20" s="5" t="n">
        <x:f>E19-D19</x:f>
        <x:v>32.94500000000005</x:v>
      </x:c>
      <x:c r="F20" s="5" t="n">
        <x:f>F19-E19</x:f>
        <x:v>34.592250000000035</x:v>
      </x:c>
      <x:c r="G20" s="5" t="n">
        <x:f>G19-F19</x:f>
        <x:v>36.321862500000066</x:v>
      </x:c>
      <x:c r="H20" s="5" t="n">
        <x:f>H19-G19</x:f>
        <x:v>38.13795562500002</x:v>
      </x:c>
      <x:c r="I20" s="5" t="n">
        <x:f>I19-H19</x:f>
        <x:v>40.04485340625001</x:v>
      </x:c>
      <x:c r="J20" s="1"/>
    </x:row>
    <x:row r="21" ht="24" customHeight="1">
      <x:c r="A21" s="1"/>
      <x:c r="B21" s="1"/>
      <x:c r="C21" s="1" t="str">
        <x:v>Unlevered free cash flow (FCFF)</x:v>
      </x:c>
      <x:c r="D21" s="2"/>
      <x:c r="E21" s="5" t="n">
        <x:f>E17+E14-E18-E20</x:f>
        <x:v>377.18604999999997</x:v>
      </x:c>
      <x:c r="F21" s="5" t="n">
        <x:f>F17+F14-F18-F20</x:f>
        <x:v>406.9419112500001</x:v>
      </x:c>
      <x:c r="G21" s="5" t="n">
        <x:f>G17+G14-G18-G20</x:f>
        <x:v>438.73039350000016</x:v>
      </x:c>
      <x:c r="H21" s="5" t="n">
        <x:f>H17+H14-H18-H20</x:f>
        <x:v>472.6803691968753</x:v>
      </x:c>
      <x:c r="I21" s="5" t="n">
        <x:f>I17+I14-I18-I20</x:f>
        <x:v>508.9285164796878</x:v>
      </x:c>
      <x:c r="J21" s="1"/>
    </x:row>
    <x:row r="22" ht="24" customHeight="1">
      <x:c r="A22" s="1"/>
      <x:c r="B22" s="1"/>
      <x:c r="C22" s="1" t="str">
        <x:v>Discount period</x:v>
      </x:c>
      <x:c r="D22" s="2"/>
      <x:c r="E22" s="23" t="n">
        <x:f>1</x:f>
        <x:v>1</x:v>
      </x:c>
      <x:c r="F22" s="23" t="n">
        <x:f>2</x:f>
        <x:v>2</x:v>
      </x:c>
      <x:c r="G22" s="23" t="n">
        <x:f>3</x:f>
        <x:v>3</x:v>
      </x:c>
      <x:c r="H22" s="23" t="n">
        <x:f>4</x:f>
        <x:v>4</x:v>
      </x:c>
      <x:c r="I22" s="23" t="n">
        <x:f>5</x:f>
        <x:v>5</x:v>
      </x:c>
      <x:c r="J22" s="1"/>
    </x:row>
    <x:row r="23" ht="24" customHeight="1">
      <x:c r="A23" s="1"/>
      <x:c r="B23" s="1"/>
      <x:c r="C23" s="1" t="str">
        <x:v>Discount factor</x:v>
      </x:c>
      <x:c r="D23" s="2"/>
      <x:c r="E23" s="24" t="n">
        <x:f>1/(1+'Drivers'!$D$23)^E22</x:f>
        <x:v>0.9190120620333142</x:v>
      </x:c>
      <x:c r="F23" s="24" t="n">
        <x:f>1/(1+'Drivers'!$D$23)^F22</x:f>
        <x:v>0.8445831701627242</x:v>
      </x:c>
      <x:c r="G23" s="24" t="n">
        <x:f>1/(1+'Drivers'!$D$23)^G22</x:f>
        <x:v>0.7761821207698786</x:v>
      </x:c>
      <x:c r="H23" s="24" t="n">
        <x:f>1/(1+'Drivers'!$D$23)^H22</x:f>
        <x:v>0.7133207313221169</x:v>
      </x:c>
      <x:c r="I23" s="24" t="n">
        <x:f>1/(1+'Drivers'!$D$23)^I22</x:f>
        <x:v>0.6555503561834504</x:v>
      </x:c>
      <x:c r="J23" s="1"/>
    </x:row>
    <x:row r="24" ht="24" customHeight="1">
      <x:c r="A24" s="1"/>
      <x:c r="B24" s="1"/>
      <x:c r="C24" s="1" t="str">
        <x:v>Present value of FCFF</x:v>
      </x:c>
      <x:c r="D24" s="2"/>
      <x:c r="E24" s="5" t="n">
        <x:f>E21*E23</x:f>
        <x:v>346.6385295807007</x:v>
      </x:c>
      <x:c r="F24" s="5" t="n">
        <x:f>F21*F23</x:f>
        <x:v>343.69628947560307</x:v>
      </x:c>
      <x:c r="G24" s="5" t="n">
        <x:f>G21*G23</x:f>
        <x:v>340.53468727303346</x:v>
      </x:c>
      <x:c r="H24" s="5" t="n">
        <x:f>H21*H23</x:f>
        <x:v>337.1727066371233</x:v>
      </x:c>
      <x:c r="I24" s="5" t="n">
        <x:f>I21*I23</x:f>
        <x:v>333.62827025017435</x:v>
      </x:c>
      <x:c r="J24" s="1"/>
    </x:row>
    <x:row r="25" ht="24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1"/>
    </x:row>
    <x:row r="26" ht="24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1"/>
    </x:row>
    <x:row r="27" ht="24" customHeight="1">
      <x:c r="A27" s="1"/>
      <x:c r="B27" s="1"/>
      <x:c r="C27" s="11" t="str">
        <x:v>Terminal value and enterprise-to-equity bridge</x:v>
      </x:c>
      <x:c r="D27" s="12"/>
      <x:c r="E27" s="12"/>
      <x:c r="F27" s="12"/>
      <x:c r="G27" s="12"/>
      <x:c r="H27" s="12"/>
      <x:c r="I27" s="12"/>
      <x:c r="J27" s="1"/>
    </x:row>
    <x:row r="28" ht="24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1"/>
    </x:row>
    <x:row r="29" ht="24" customHeight="1">
      <x:c r="A29" s="1"/>
      <x:c r="B29" s="1"/>
      <x:c r="C29" s="1" t="str">
        <x:v>Terminal-year NOPAT</x:v>
      </x:c>
      <x:c r="D29" s="4" t="n">
        <x:f>I17*(1+'Drivers'!D14)</x:f>
        <x:v>476.5011571761331</x:v>
      </x:c>
      <x:c r="E29" s="2"/>
      <x:c r="F29" s="2"/>
      <x:c r="G29" s="2"/>
      <x:c r="H29" s="2"/>
      <x:c r="I29" s="2"/>
      <x:c r="J29" s="1"/>
    </x:row>
    <x:row r="30" ht="24" customHeight="1">
      <x:c r="A30" s="1"/>
      <x:c r="B30" s="1"/>
      <x:c r="C30" s="1" t="str">
        <x:v>Terminal reinvestment rate</x:v>
      </x:c>
      <x:c r="D30" s="22" t="n">
        <x:f>'Drivers'!D14/'Drivers'!D15</x:f>
        <x:v>0.25</x:v>
      </x:c>
      <x:c r="E30" s="2"/>
      <x:c r="F30" s="2"/>
      <x:c r="G30" s="2"/>
      <x:c r="H30" s="2"/>
      <x:c r="I30" s="2"/>
      <x:c r="J30" s="1"/>
    </x:row>
    <x:row r="31" ht="24" customHeight="1">
      <x:c r="A31" s="1"/>
      <x:c r="B31" s="1"/>
      <x:c r="C31" s="1" t="str">
        <x:v>Terminal FCFF</x:v>
      </x:c>
      <x:c r="D31" s="5" t="n">
        <x:f>D29*(1-D30)</x:f>
        <x:v>357.37586788209984</x:v>
      </x:c>
      <x:c r="E31" s="2"/>
      <x:c r="F31" s="2"/>
      <x:c r="G31" s="2"/>
      <x:c r="H31" s="2"/>
      <x:c r="I31" s="2"/>
      <x:c r="J31" s="1"/>
    </x:row>
    <x:row r="32" ht="24" customHeight="1">
      <x:c r="A32" s="1"/>
      <x:c r="B32" s="1"/>
      <x:c r="C32" s="1" t="str">
        <x:v>Terminal value</x:v>
      </x:c>
      <x:c r="D32" s="4" t="n">
        <x:f>IF('Drivers'!D23&lt;='Drivers'!D14,NA(),D31/('Drivers'!D23-'Drivers'!D14))</x:f>
        <x:v>5661.399887241187</x:v>
      </x:c>
      <x:c r="E32" s="2"/>
      <x:c r="F32" s="2"/>
      <x:c r="G32" s="2"/>
      <x:c r="H32" s="2"/>
      <x:c r="I32" s="2"/>
      <x:c r="J32" s="1"/>
    </x:row>
    <x:row r="33" ht="24" customHeight="1">
      <x:c r="A33" s="1"/>
      <x:c r="B33" s="1"/>
      <x:c r="C33" s="1" t="str">
        <x:v>PV of terminal value</x:v>
      </x:c>
      <x:c r="D33" s="5" t="n">
        <x:f>D32*I23</x:f>
        <x:v>3711.3327125779056</x:v>
      </x:c>
      <x:c r="E33" s="2"/>
      <x:c r="F33" s="2"/>
      <x:c r="G33" s="2"/>
      <x:c r="H33" s="2"/>
      <x:c r="I33" s="2"/>
      <x:c r="J33" s="1"/>
    </x:row>
    <x:row r="34" ht="24" customHeight="1">
      <x:c r="A34" s="1"/>
      <x:c r="B34" s="1"/>
      <x:c r="C34" s="1" t="str">
        <x:v>PV of explicit forecast</x:v>
      </x:c>
      <x:c r="D34" s="5" t="n">
        <x:f>SUM(E24:I24)</x:f>
        <x:v>1701.670483216635</x:v>
      </x:c>
      <x:c r="E34" s="2"/>
      <x:c r="F34" s="2"/>
      <x:c r="G34" s="2"/>
      <x:c r="H34" s="2"/>
      <x:c r="I34" s="2"/>
      <x:c r="J34" s="1"/>
    </x:row>
    <x:row r="35" ht="24" customHeight="1">
      <x:c r="A35" s="1"/>
      <x:c r="B35" s="1"/>
      <x:c r="C35" s="1" t="str">
        <x:v>Enterprise value</x:v>
      </x:c>
      <x:c r="D35" s="5" t="n">
        <x:f>SUM(D33:D34)</x:f>
        <x:v>5413.00319579454</x:v>
      </x:c>
      <x:c r="E35" s="2"/>
      <x:c r="F35" s="2"/>
      <x:c r="G35" s="2"/>
      <x:c r="H35" s="2"/>
      <x:c r="I35" s="2"/>
      <x:c r="J35" s="1"/>
    </x:row>
    <x:row r="36" ht="24" customHeight="1">
      <x:c r="A36" s="1"/>
      <x:c r="B36" s="1"/>
      <x:c r="C36" s="1" t="str">
        <x:v>Excess cash</x:v>
      </x:c>
      <x:c r="D36" s="4" t="n">
        <x:f>MAX(0,'History'!E16-'Drivers'!D18)</x:f>
        <x:v>654</x:v>
      </x:c>
      <x:c r="E36" s="2"/>
      <x:c r="F36" s="2"/>
      <x:c r="G36" s="2"/>
      <x:c r="H36" s="2"/>
      <x:c r="I36" s="2"/>
      <x:c r="J36" s="1"/>
    </x:row>
    <x:row r="37" ht="24" customHeight="1">
      <x:c r="A37" s="1"/>
      <x:c r="B37" s="1"/>
      <x:c r="C37" s="1" t="str">
        <x:v>Debt</x:v>
      </x:c>
      <x:c r="D37" s="4" t="n">
        <x:f>'History'!E17</x:f>
        <x:v>3065</x:v>
      </x:c>
      <x:c r="E37" s="2"/>
      <x:c r="F37" s="2"/>
      <x:c r="G37" s="2"/>
      <x:c r="H37" s="2"/>
      <x:c r="I37" s="2"/>
      <x:c r="J37" s="1"/>
    </x:row>
    <x:row r="38" ht="24" customHeight="1">
      <x:c r="A38" s="1"/>
      <x:c r="B38" s="1"/>
      <x:c r="C38" s="1" t="str">
        <x:v>NCI proxy</x:v>
      </x:c>
      <x:c r="D38" s="4" t="n">
        <x:f>'History'!E18</x:f>
        <x:v>32</x:v>
      </x:c>
      <x:c r="E38" s="2"/>
      <x:c r="F38" s="2"/>
      <x:c r="G38" s="2"/>
      <x:c r="H38" s="2"/>
      <x:c r="I38" s="2"/>
      <x:c r="J38" s="1"/>
    </x:row>
    <x:row r="39" ht="24" customHeight="1">
      <x:c r="A39" s="1"/>
      <x:c r="B39" s="1"/>
      <x:c r="C39" s="1" t="str">
        <x:v>Equity value</x:v>
      </x:c>
      <x:c r="D39" s="5" t="n">
        <x:f>D35+D36-D37-D38</x:f>
        <x:v>2970.0031957945403</x:v>
      </x:c>
      <x:c r="E39" s="2"/>
      <x:c r="F39" s="2"/>
      <x:c r="G39" s="2"/>
      <x:c r="H39" s="2"/>
      <x:c r="I39" s="2"/>
      <x:c r="J39" s="1"/>
    </x:row>
    <x:row r="40" ht="24" customHeight="1">
      <x:c r="A40" s="1"/>
      <x:c r="B40" s="1"/>
      <x:c r="C40" s="1" t="str">
        <x:v>Period-end basic shares</x:v>
      </x:c>
      <x:c r="D40" s="4" t="n">
        <x:f>'History'!E19</x:f>
        <x:v>114.512</x:v>
      </x:c>
      <x:c r="E40" s="2"/>
      <x:c r="F40" s="2"/>
      <x:c r="G40" s="2"/>
      <x:c r="H40" s="2"/>
      <x:c r="I40" s="2"/>
      <x:c r="J40" s="1"/>
    </x:row>
    <x:row r="41" ht="24" customHeight="1">
      <x:c r="A41" s="1"/>
      <x:c r="B41" s="1"/>
      <x:c r="C41" s="1" t="str">
        <x:v>Illustrative value per basic share</x:v>
      </x:c>
      <x:c r="D41" s="26" t="n">
        <x:f>D39/D40</x:f>
        <x:v>25.93617433801296</x:v>
      </x:c>
      <x:c r="E41" s="2"/>
      <x:c r="F41" s="2"/>
      <x:c r="G41" s="2"/>
      <x:c r="H41" s="2"/>
      <x:c r="I41" s="2"/>
      <x:c r="J41" s="1"/>
    </x:row>
    <x:row r="42" ht="24" customHeight="1">
      <x:c r="A42" s="1"/>
      <x:c r="B42" s="1"/>
      <x:c r="C42" s="1" t="str">
        <x:v>Terminal value / enterprise value</x:v>
      </x:c>
      <x:c r="D42" s="8" t="n">
        <x:f>D33/D35</x:f>
        <x:v>0.6856328323362726</x:v>
      </x:c>
      <x:c r="E42" s="2"/>
      <x:c r="F42" s="2"/>
      <x:c r="G42" s="2"/>
      <x:c r="H42" s="2"/>
      <x:c r="I42" s="2"/>
      <x:c r="J42" s="1"/>
    </x:row>
    <x:row r="43" ht="24" customHeight="1">
      <x:c r="A43" s="1"/>
      <x:c r="B43" s="1"/>
      <x:c r="C43" s="1" t="str">
        <x:v>Implied terminal EV / adjusted EBITDA</x:v>
      </x:c>
      <x:c r="D43" s="25" t="n">
        <x:f>D32/I11</x:f>
        <x:v>4.684657088463339</x:v>
      </x:c>
      <x:c r="E43" s="2"/>
      <x:c r="F43" s="2"/>
      <x:c r="G43" s="2"/>
      <x:c r="H43" s="2"/>
      <x:c r="I43" s="2"/>
      <x:c r="J43" s="1"/>
    </x:row>
    <x:row r="44" ht="24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1"/>
    </x:row>
    <x:row r="45" ht="24" customHeight="1">
      <x:c r="A45" s="1"/>
      <x:c r="B45" s="1"/>
      <x:c r="C45" s="1" t="str">
        <x:v>Alternative exit-multiple EV</x:v>
      </x:c>
      <x:c r="D45" s="4" t="n">
        <x:f>D34+I11*'Drivers'!D19*I23</x:f>
        <x:v>8435.637871053772</x:v>
      </x:c>
      <x:c r="E45" s="2"/>
      <x:c r="F45" s="2"/>
      <x:c r="G45" s="2"/>
      <x:c r="H45" s="2"/>
      <x:c r="I45" s="2"/>
      <x:c r="J45" s="1"/>
    </x:row>
    <x:row r="46" ht="24" customHeight="1">
      <x:c r="A46" s="1"/>
      <x:c r="B46" s="1"/>
      <x:c r="C46" s="1" t="str">
        <x:v>Alternative equity value / basic share</x:v>
      </x:c>
      <x:c r="D46" s="26" t="n">
        <x:f> (D45+D36-D37-D38)/D40</x:f>
        <x:v>52.331964082836485</x:v>
      </x:c>
      <x:c r="E46" s="2"/>
      <x:c r="F46" s="2"/>
      <x:c r="G46" s="2"/>
      <x:c r="H46" s="2"/>
      <x:c r="I46" s="2"/>
      <x:c r="J46" s="1"/>
    </x:row>
    <x:row r="47" ht="24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1"/>
    </x:row>
    <x:row r="48" ht="24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1"/>
    </x:row>
    <x:row r="49" ht="24" customHeight="1">
      <x:c r="A49" s="1"/>
      <x:c r="B49" s="1"/>
      <x:c r="C49" s="11" t="str">
        <x:v>Review checks (zero differences expected)</x:v>
      </x:c>
      <x:c r="D49" s="12"/>
      <x:c r="E49" s="12"/>
      <x:c r="F49" s="12"/>
      <x:c r="G49" s="12"/>
      <x:c r="H49" s="12"/>
      <x:c r="I49" s="12"/>
      <x:c r="J49" s="1"/>
    </x:row>
    <x:row r="50" ht="24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1"/>
    </x:row>
    <x:row r="51" ht="24" customHeight="1">
      <x:c r="A51" s="1"/>
      <x:c r="B51" s="1"/>
      <x:c r="C51" s="1" t="str">
        <x:v>Reported FCF reconciliation</x:v>
      </x:c>
      <x:c r="D51" s="27" t="n">
        <x:f>'History'!E12-'History'!E13+'History'!E14-'History'!E15</x:f>
        <x:v>0</x:v>
      </x:c>
      <x:c r="E51" s="2"/>
      <x:c r="F51" s="2"/>
      <x:c r="G51" s="2"/>
      <x:c r="H51" s="2"/>
      <x:c r="I51" s="2"/>
      <x:c r="J51" s="1"/>
    </x:row>
    <x:row r="52" ht="24" customHeight="1">
      <x:c r="A52" s="1"/>
      <x:c r="B52" s="1"/>
      <x:c r="C52" s="1" t="str">
        <x:v>Equity bridge difference</x:v>
      </x:c>
      <x:c r="D52" s="28" t="n">
        <x:f>D39-D35-D36+D37+D38</x:f>
        <x:v>0</x:v>
      </x:c>
      <x:c r="E52" s="2"/>
      <x:c r="F52" s="2"/>
      <x:c r="G52" s="2"/>
      <x:c r="H52" s="2"/>
      <x:c r="I52" s="2"/>
      <x:c r="J52" s="1"/>
    </x:row>
    <x:row r="53" ht="24" customHeight="1">
      <x:c r="A53" s="1"/>
      <x:c r="B53" s="1"/>
      <x:c r="C53" s="1" t="str">
        <x:v>PV aggregation difference</x:v>
      </x:c>
      <x:c r="D53" s="28" t="n">
        <x:f>D35-SUM(E24:I24)-D33</x:f>
        <x:v>-4.547473508864641e-13</x:v>
      </x:c>
      <x:c r="E53" s="2"/>
      <x:c r="F53" s="2"/>
      <x:c r="G53" s="2"/>
      <x:c r="H53" s="2"/>
      <x:c r="I53" s="2"/>
      <x:c r="J53" s="1"/>
    </x:row>
    <x:row r="54" ht="24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1"/>
    </x:row>
    <x:row r="55" ht="24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</x:row>
    <x:row r="56" ht="24" customHeight="1">
      <x:c r="A56" s="1"/>
      <x:c r="B56" s="1"/>
      <x:c r="C56" s="1" t="str">
        <x:v>End-year discounting; no interest is deducted from FCFF.</x:v>
      </x:c>
      <x:c r="D56" s="2"/>
      <x:c r="E56" s="2"/>
      <x:c r="F56" s="2"/>
      <x:c r="G56" s="2"/>
      <x:c r="H56" s="2"/>
      <x:c r="I56" s="2"/>
      <x:c r="J56" s="1"/>
    </x:row>
    <x:row r="57" ht="24" customHeight="1">
      <x:c r="A57" s="1"/>
      <x:c r="B57" s="1"/>
      <x:c r="C57" s="1" t="str">
        <x:v>Terminal reinvestment = growth / ROIC; terminal cash flow is rebuilt from NOPAT.</x:v>
      </x:c>
      <x:c r="D57" s="2"/>
      <x:c r="E57" s="2"/>
      <x:c r="F57" s="2"/>
      <x:c r="G57" s="2"/>
      <x:c r="H57" s="2"/>
      <x:c r="I57" s="2"/>
      <x:c r="J57" s="1"/>
    </x:row>
    <x:row r="58" ht="24" customHeight="1">
      <x:c r="A58" s="1"/>
      <x:c r="B58" s="1"/>
      <x:c r="C58" s="1" t="str">
        <x:v>Normalized proxies are not company guidance or a full three-statement forecast.</x:v>
      </x:c>
      <x:c r="D58" s="2"/>
      <x:c r="E58" s="2"/>
      <x:c r="F58" s="2"/>
      <x:c r="G58" s="2"/>
      <x:c r="H58" s="2"/>
      <x:c r="I58" s="2"/>
      <x:c r="J58" s="1"/>
    </x:row>
    <x:row r="59" ht="24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4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4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4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4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4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4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4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  <x:row r="67" ht="24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1"/>
    </x:row>
    <x:row r="68" ht="24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1"/>
    </x:row>
    <x:row r="69" ht="24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1"/>
    </x:row>
    <x:row r="70" ht="24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"/>
      <x:c r="B1" s="1"/>
      <x:c r="C1" s="1"/>
      <x:c r="D1" s="2"/>
      <x:c r="E1" s="2"/>
      <x:c r="F1" s="2"/>
      <x:c r="G1" s="2"/>
      <x:c r="H1" s="2"/>
      <x:c r="I1" s="2"/>
      <x:c r="J1" s="1"/>
    </x:row>
    <x:row r="2" ht="24" customHeight="1">
      <x:c r="A2" s="1"/>
      <x:c r="B2" s="1"/>
      <x:c r="C2" s="3" t="str">
        <x:v>GXO financial valuation: History</x:v>
      </x:c>
      <x:c r="D2" s="2"/>
      <x:c r="E2" s="2"/>
      <x:c r="F2" s="2"/>
      <x:c r="G2" s="2"/>
      <x:c r="H2" s="2"/>
      <x:c r="I2" s="2"/>
      <x:c r="J2" s="1"/>
    </x:row>
    <x:row r="3" ht="24" customHeight="1">
      <x:c r="A3" s="1"/>
      <x:c r="B3" s="1"/>
      <x:c r="C3" s="1" t="str">
        <x:v>USD millions, except per-share values. Retrospective FY2025-based case study.</x:v>
      </x:c>
      <x:c r="D3" s="2"/>
      <x:c r="E3" s="2"/>
      <x:c r="F3" s="2"/>
      <x:c r="G3" s="2"/>
      <x:c r="H3" s="2"/>
      <x:c r="I3" s="2"/>
      <x:c r="J3" s="1"/>
    </x:row>
    <x:row r="4" ht="24" customHeight="1">
      <x:c r="A4" s="1"/>
      <x:c r="B4" s="1"/>
      <x:c r="C4" s="1" t="str">
        <x:v>Source: GXO results release dated February 10, 2026; financial tables (unaudited).</x:v>
      </x:c>
      <x:c r="D4" s="2"/>
      <x:c r="E4" s="2"/>
      <x:c r="F4" s="2"/>
      <x:c r="G4" s="2"/>
      <x:c r="H4" s="2"/>
      <x:c r="I4" s="2"/>
      <x:c r="J4" s="1"/>
    </x:row>
    <x:row r="5" ht="24" customHeight="1">
      <x:c r="A5" s="1"/>
      <x:c r="B5" s="1"/>
      <x:c r="C5" s="20" t="str">
        <x:v>https://investors.gxo.com/news-releases/news-release-details/gxo-reports-fourth-quarter-and-full-year-2025-results</x:v>
      </x:c>
      <x:c r="D5" s="2"/>
      <x:c r="E5" s="2"/>
      <x:c r="F5" s="2"/>
      <x:c r="G5" s="2"/>
      <x:c r="H5" s="2"/>
      <x:c r="I5" s="2"/>
      <x:c r="J5" s="1"/>
    </x:row>
    <x:row r="6" ht="24" customHeight="1">
      <x:c r="A6" s="1"/>
      <x:c r="B6" s="1"/>
      <x:c r="C6" s="1"/>
      <x:c r="D6" s="2"/>
      <x:c r="E6" s="2"/>
      <x:c r="F6" s="2"/>
      <x:c r="G6" s="2"/>
      <x:c r="H6" s="2"/>
      <x:c r="I6" s="2"/>
      <x:c r="J6" s="1"/>
    </x:row>
    <x:row r="7" ht="24" customHeight="1">
      <x:c r="A7" s="1"/>
      <x:c r="B7" s="1"/>
      <x:c r="C7" s="1" t="str">
        <x:v>Historical input</x:v>
      </x:c>
      <x:c r="D7" s="6" t="n">
        <x:v>2024</x:v>
      </x:c>
      <x:c r="E7" s="6" t="n">
        <x:v>2025</x:v>
      </x:c>
      <x:c r="F7" s="2"/>
      <x:c r="G7" s="2"/>
      <x:c r="H7" s="2"/>
      <x:c r="I7" s="2"/>
      <x:c r="J7" s="1"/>
    </x:row>
    <x:row r="8" ht="24" customHeight="1">
      <x:c r="A8" s="1"/>
      <x:c r="B8" s="1"/>
      <x:c r="C8" s="1" t="str">
        <x:v>Revenue</x:v>
      </x:c>
      <x:c r="D8" s="18" t="n">
        <x:v>11709</x:v>
      </x:c>
      <x:c r="E8" s="18" t="n">
        <x:v>13178</x:v>
      </x:c>
      <x:c r="F8" s="2"/>
      <x:c r="G8" s="2"/>
      <x:c r="H8" s="2"/>
      <x:c r="I8" s="2"/>
      <x:c r="J8" s="1"/>
    </x:row>
    <x:row r="9" ht="24" customHeight="1">
      <x:c r="A9" s="1"/>
      <x:c r="B9" s="1"/>
      <x:c r="C9" s="1" t="str">
        <x:v>Adjusted EBITDA (non-GAAP)</x:v>
      </x:c>
      <x:c r="D9" s="18" t="n">
        <x:v>815</x:v>
      </x:c>
      <x:c r="E9" s="18" t="n">
        <x:v>881</x:v>
      </x:c>
      <x:c r="F9" s="2"/>
      <x:c r="G9" s="2"/>
      <x:c r="H9" s="2"/>
      <x:c r="I9" s="2"/>
      <x:c r="J9" s="1"/>
    </x:row>
    <x:row r="10" ht="24" customHeight="1">
      <x:c r="A10" s="1"/>
      <x:c r="B10" s="1"/>
      <x:c r="C10" s="1" t="str">
        <x:v>Operating income</x:v>
      </x:c>
      <x:c r="D10" s="18" t="n">
        <x:v>218</x:v>
      </x:c>
      <x:c r="E10" s="18" t="n">
        <x:v>245</x:v>
      </x:c>
      <x:c r="F10" s="2"/>
      <x:c r="G10" s="2"/>
      <x:c r="H10" s="2"/>
      <x:c r="I10" s="2"/>
      <x:c r="J10" s="1"/>
    </x:row>
    <x:row r="11" ht="24" customHeight="1">
      <x:c r="A11" s="1"/>
      <x:c r="B11" s="1"/>
      <x:c r="C11" s="1" t="str">
        <x:v>Depreciation and amortization</x:v>
      </x:c>
      <x:c r="D11" s="18" t="n">
        <x:v>415</x:v>
      </x:c>
      <x:c r="E11" s="18" t="n">
        <x:v>457</x:v>
      </x:c>
      <x:c r="F11" s="2"/>
      <x:c r="G11" s="2"/>
      <x:c r="H11" s="2"/>
      <x:c r="I11" s="2"/>
      <x:c r="J11" s="1"/>
    </x:row>
    <x:row r="12" ht="24" customHeight="1">
      <x:c r="A12" s="1"/>
      <x:c r="B12" s="1"/>
      <x:c r="C12" s="1" t="str">
        <x:v>Operating cash flow</x:v>
      </x:c>
      <x:c r="D12" s="18" t="n">
        <x:v>549</x:v>
      </x:c>
      <x:c r="E12" s="18" t="n">
        <x:v>434</x:v>
      </x:c>
      <x:c r="F12" s="2"/>
      <x:c r="G12" s="2"/>
      <x:c r="H12" s="2"/>
      <x:c r="I12" s="2"/>
      <x:c r="J12" s="1"/>
    </x:row>
    <x:row r="13" ht="24" customHeight="1">
      <x:c r="A13" s="1"/>
      <x:c r="B13" s="1"/>
      <x:c r="C13" s="1" t="str">
        <x:v>Gross capital expenditure</x:v>
      </x:c>
      <x:c r="D13" s="18" t="n">
        <x:v>359</x:v>
      </x:c>
      <x:c r="E13" s="18" t="n">
        <x:v>324</x:v>
      </x:c>
      <x:c r="F13" s="2"/>
      <x:c r="G13" s="2"/>
      <x:c r="H13" s="2"/>
      <x:c r="I13" s="2"/>
      <x:c r="J13" s="1"/>
    </x:row>
    <x:row r="14" ht="24" customHeight="1">
      <x:c r="A14" s="1"/>
      <x:c r="B14" s="1"/>
      <x:c r="C14" s="1" t="str">
        <x:v>Property/equipment sale proceeds</x:v>
      </x:c>
      <x:c r="D14" s="18" t="n">
        <x:v>61</x:v>
      </x:c>
      <x:c r="E14" s="18" t="n">
        <x:v>149</x:v>
      </x:c>
      <x:c r="F14" s="2"/>
      <x:c r="G14" s="2"/>
      <x:c r="H14" s="2"/>
      <x:c r="I14" s="2"/>
      <x:c r="J14" s="1"/>
    </x:row>
    <x:row r="15" ht="24" customHeight="1">
      <x:c r="A15" s="1"/>
      <x:c r="B15" s="1"/>
      <x:c r="C15" s="1" t="str">
        <x:v>Company-defined free cash flow</x:v>
      </x:c>
      <x:c r="D15" s="18" t="n">
        <x:v>251</x:v>
      </x:c>
      <x:c r="E15" s="18" t="n">
        <x:v>259</x:v>
      </x:c>
      <x:c r="F15" s="2"/>
      <x:c r="G15" s="2"/>
      <x:c r="H15" s="2"/>
      <x:c r="I15" s="2"/>
      <x:c r="J15" s="1"/>
    </x:row>
    <x:row r="16" ht="24" customHeight="1">
      <x:c r="A16" s="1"/>
      <x:c r="B16" s="1"/>
      <x:c r="C16" s="1" t="str">
        <x:v>Unrestricted cash</x:v>
      </x:c>
      <x:c r="D16" s="18" t="n">
        <x:v>413</x:v>
      </x:c>
      <x:c r="E16" s="18" t="n">
        <x:v>854</x:v>
      </x:c>
      <x:c r="F16" s="2"/>
      <x:c r="G16" s="2"/>
      <x:c r="H16" s="2"/>
      <x:c r="I16" s="2"/>
      <x:c r="J16" s="1"/>
    </x:row>
    <x:row r="17" ht="24" customHeight="1">
      <x:c r="A17" s="1"/>
      <x:c r="B17" s="1"/>
      <x:c r="C17" s="1" t="str">
        <x:v>Reported debt carrying value</x:v>
      </x:c>
      <x:c r="D17" s="18" t="n">
        <x:v>2631</x:v>
      </x:c>
      <x:c r="E17" s="18" t="n">
        <x:v>3065</x:v>
      </x:c>
      <x:c r="F17" s="2"/>
      <x:c r="G17" s="2"/>
      <x:c r="H17" s="2"/>
      <x:c r="I17" s="2"/>
      <x:c r="J17" s="1"/>
    </x:row>
    <x:row r="18" ht="24" customHeight="1">
      <x:c r="A18" s="1"/>
      <x:c r="B18" s="1"/>
      <x:c r="C18" s="1" t="str">
        <x:v>Noncontrolling interest book value</x:v>
      </x:c>
      <x:c r="D18" s="18" t="n">
        <x:v>32</x:v>
      </x:c>
      <x:c r="E18" s="18" t="n">
        <x:v>32</x:v>
      </x:c>
      <x:c r="F18" s="2"/>
      <x:c r="G18" s="2"/>
      <x:c r="H18" s="2"/>
      <x:c r="I18" s="2"/>
      <x:c r="J18" s="1"/>
    </x:row>
    <x:row r="19" ht="24" customHeight="1">
      <x:c r="A19" s="1"/>
      <x:c r="B19" s="1"/>
      <x:c r="C19" s="1" t="str">
        <x:v>Period-end basic shares (millions)</x:v>
      </x:c>
      <x:c r="D19" s="21" t="n">
        <x:v>119.496</x:v>
      </x:c>
      <x:c r="E19" s="21" t="n">
        <x:v>114.512</x:v>
      </x:c>
      <x:c r="F19" s="2"/>
      <x:c r="G19" s="2"/>
      <x:c r="H19" s="2"/>
      <x:c r="I19" s="2"/>
      <x:c r="J19" s="1"/>
    </x:row>
    <x:row r="20" ht="24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1"/>
    </x:row>
    <x:row r="21" ht="24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1"/>
    </x:row>
    <x:row r="22" ht="24" customHeight="1">
      <x:c r="A22" s="1"/>
      <x:c r="B22" s="1"/>
      <x:c r="C22" s="1" t="str">
        <x:v>Debt = current + long-term debt; includes finance leases.</x:v>
      </x:c>
      <x:c r="D22" s="2"/>
      <x:c r="E22" s="2"/>
      <x:c r="F22" s="2"/>
      <x:c r="G22" s="2"/>
      <x:c r="H22" s="2"/>
      <x:c r="I22" s="2"/>
      <x:c r="J22" s="1"/>
    </x:row>
    <x:row r="23" ht="24" customHeight="1">
      <x:c r="A23" s="1"/>
      <x:c r="B23" s="1"/>
      <x:c r="C23" s="1" t="str">
        <x:v>Operating lease costs stay in earnings; operating lease liabilities excluded from EV debt.</x:v>
      </x:c>
      <x:c r="D23" s="2"/>
      <x:c r="E23" s="2"/>
      <x:c r="F23" s="2"/>
      <x:c r="G23" s="2"/>
      <x:c r="H23" s="2"/>
      <x:c r="I23" s="2"/>
      <x:c r="J23" s="1"/>
    </x:row>
    <x:row r="24" ht="24" customHeight="1">
      <x:c r="A24" s="1"/>
      <x:c r="B24" s="1"/>
      <x:c r="C24" s="1" t="str">
        <x:v>Shares are year-end basic shares, not a fully diluted option/RSU calculation.</x:v>
      </x:c>
      <x:c r="D24" s="2"/>
      <x:c r="E24" s="2"/>
      <x:c r="F24" s="2"/>
      <x:c r="G24" s="2"/>
      <x:c r="H24" s="2"/>
      <x:c r="I24" s="2"/>
      <x:c r="J24" s="1"/>
    </x:row>
    <x:row r="25" ht="24" customHeight="1">
      <x:c r="A25" s="1"/>
      <x:c r="B25" s="1"/>
      <x:c r="C25" s="1" t="str">
        <x:v>NCI book value is a proxy, not an independent fair-value estimate.</x:v>
      </x:c>
      <x:c r="D25" s="2"/>
      <x:c r="E25" s="2"/>
      <x:c r="F25" s="2"/>
      <x:c r="G25" s="2"/>
      <x:c r="H25" s="2"/>
      <x:c r="I25" s="2"/>
      <x:c r="J25" s="1"/>
    </x:row>
    <x:row r="26" ht="24" customHeight="1">
      <x:c r="A26" s="1"/>
      <x:c r="B26" s="1"/>
      <x:c r="C26" s="1" t="str">
        <x:v>FY2025 information was released after year-end: this is not a point-in-time backtest.</x:v>
      </x:c>
      <x:c r="D26" s="2"/>
      <x:c r="E26" s="2"/>
      <x:c r="F26" s="2"/>
      <x:c r="G26" s="2"/>
      <x:c r="H26" s="2"/>
      <x:c r="I26" s="2"/>
      <x:c r="J26" s="1"/>
    </x:row>
    <x:row r="27" ht="24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1"/>
    </x:row>
    <x:row r="28" ht="24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1"/>
    </x:row>
    <x:row r="29" ht="24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1"/>
    </x:row>
    <x:row r="30" ht="24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1"/>
    </x:row>
    <x:row r="31" ht="24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1"/>
    </x:row>
    <x:row r="32" ht="24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1"/>
    </x:row>
    <x:row r="33" ht="24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1"/>
    </x:row>
    <x:row r="34" ht="24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1"/>
    </x:row>
    <x:row r="35" ht="24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1"/>
    </x:row>
    <x:row r="36" ht="24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1"/>
    </x:row>
    <x:row r="37" ht="24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1"/>
    </x:row>
    <x:row r="38" ht="24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1"/>
    </x:row>
    <x:row r="39" ht="24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1"/>
    </x:row>
    <x:row r="40" ht="24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1"/>
    </x:row>
    <x:row r="41" ht="24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1"/>
    </x:row>
    <x:row r="42" ht="24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1"/>
    </x:row>
    <x:row r="43" ht="24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1"/>
    </x:row>
    <x:row r="44" ht="24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1"/>
    </x:row>
    <x:row r="45" ht="24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1"/>
    </x:row>
    <x:row r="46" ht="24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1"/>
    </x:row>
    <x:row r="47" ht="24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1"/>
    </x:row>
    <x:row r="48" ht="24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1"/>
    </x:row>
    <x:row r="49" ht="24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1"/>
    </x:row>
    <x:row r="50" ht="24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1"/>
    </x:row>
    <x:row r="51" ht="24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1"/>
    </x:row>
    <x:row r="52" ht="24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1"/>
    </x:row>
    <x:row r="53" ht="24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1"/>
    </x:row>
    <x:row r="54" ht="24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1"/>
    </x:row>
    <x:row r="55" ht="24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</x:row>
    <x:row r="56" ht="24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4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4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4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4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4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4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4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4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4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4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  <x:row r="67" ht="24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1"/>
    </x:row>
    <x:row r="68" ht="24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1"/>
    </x:row>
    <x:row r="69" ht="24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1"/>
    </x:row>
    <x:row r="70" ht="24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1"/>
    </x:row>
  </x:sheetData>
  <x:pageMargins left="0.7" right="0.7" top="0.75" bottom="0.75" header="0.3" footer="0.3"/>
</x:worksheet>
</file>